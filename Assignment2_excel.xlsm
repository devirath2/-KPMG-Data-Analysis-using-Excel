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fe7327b5038cb76/Desktop/New folder/"/>
    </mc:Choice>
  </mc:AlternateContent>
  <xr:revisionPtr revIDLastSave="4" documentId="8_{D88AC6BD-CACF-408C-ABB1-C5FFE6FC6E19}" xr6:coauthVersionLast="47" xr6:coauthVersionMax="47" xr10:uidLastSave="{BAFADF01-FE2C-4097-A8BD-1267F5E4EF73}"/>
  <bookViews>
    <workbookView xWindow="-108" yWindow="-108" windowWidth="23256" windowHeight="12456" firstSheet="5" activeTab="11" xr2:uid="{00000000-000D-0000-FFFF-FFFF00000000}"/>
  </bookViews>
  <sheets>
    <sheet name="Original Data set employees" sheetId="1" r:id="rId1"/>
    <sheet name="Q1- Conditional formatting" sheetId="2" r:id="rId2"/>
    <sheet name="Q2" sheetId="4" r:id="rId3"/>
    <sheet name="Q3- List data validation" sheetId="5" r:id="rId4"/>
    <sheet name="Q4- Power Query" sheetId="7" r:id="rId5"/>
    <sheet name="Q5 Relationship" sheetId="11" r:id="rId6"/>
    <sheet name="Q6 Power pivot table" sheetId="12" r:id="rId7"/>
    <sheet name="Q7- Employees Table" sheetId="8" r:id="rId8"/>
    <sheet name="Q8 filter" sheetId="16" r:id="rId9"/>
    <sheet name="Q9 Marco" sheetId="17" r:id="rId10"/>
    <sheet name="Q10 Avg salary " sheetId="19" r:id="rId11"/>
    <sheet name="Q11" sheetId="20" r:id="rId12"/>
  </sheets>
  <definedNames>
    <definedName name="_xlcn.WorksheetConnection_employees.xlsxemployees" hidden="1">employees[]</definedName>
    <definedName name="_xlcn.WorksheetConnection_OriginalDatasetemployees3A7J47" hidden="1">'Q7- Employees Table'!$A$7:$J$47</definedName>
    <definedName name="departments" localSheetId="8" hidden="1">'Q8 filter'!$P$10:$R$21</definedName>
    <definedName name="ExternalData_1" localSheetId="4" hidden="1">'Q4- Power Query'!$A$1:$L$1000</definedName>
  </definedNames>
  <calcPr calcId="191029"/>
  <pivotCaches>
    <pivotCache cacheId="0" r:id="rId13"/>
    <pivotCache cacheId="1" r:id="rId14"/>
    <pivotCache cacheId="2" r:id="rId15"/>
  </pivotCaches>
  <extLst>
    <ext xmlns:x15="http://schemas.microsoft.com/office/spreadsheetml/2010/11/main" uri="{FCE2AD5D-F65C-4FA6-A056-5C36A1767C68}">
      <x15:dataModel>
        <x15:modelTables>
          <x15:modelTable id="departments_b65293a2-0cc9-4740-8c86-eb9fc90d2d99" name="departments" connection="Query - departments"/>
          <x15:modelTable id="employees" name="employees" connection="WorksheetConnection_employees.xlsx!employees"/>
          <x15:modelTable id="Range" name="Range" connection="WorksheetConnection_Original Data set employees (3)!$A$7:$J$47"/>
        </x15:modelTables>
        <x15:modelRelationships>
          <x15:modelRelationship fromTable="employees" fromColumn="department_id" toTable="departments" toColumn="department_id"/>
        </x15:modelRelationships>
      </x15:dataModel>
    </ext>
    <ext uri="GoogleSheetsCustomDataVersion2">
      <go:sheetsCustomData xmlns:go="http://customooxmlschemas.google.com/" r:id="rId16" roundtripDataChecksum="YLWyCVbftKs2cHmKoJxI/OP0YWomXK6ERgjXe4BPNnY="/>
    </ext>
  </extLst>
</workbook>
</file>

<file path=xl/calcChain.xml><?xml version="1.0" encoding="utf-8"?>
<calcChain xmlns="http://schemas.openxmlformats.org/spreadsheetml/2006/main">
  <c r="M10" i="4" l="1"/>
  <c r="M9" i="4"/>
  <c r="H48" i="19"/>
  <c r="G4" i="19"/>
  <c r="M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BB1688-56EC-47A9-9F87-E861BEEC3765}" keepAlive="1" name="ModelConnection_departments" description="Data Model" type="5" refreshedVersion="8" minRefreshableVersion="5" saveData="1">
    <dbPr connection="Data Model Connection" command="department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DB6F5ABF-E3FF-473A-BAB2-902DE785C4A4}" name="Query - departments" description="Connection to the 'departments' query in the workbook." type="100" refreshedVersion="8" minRefreshableVersion="5">
    <extLst>
      <ext xmlns:x15="http://schemas.microsoft.com/office/spreadsheetml/2010/11/main" uri="{DE250136-89BD-433C-8126-D09CA5730AF9}">
        <x15:connection id="b8cd8821-ab9e-4977-a2a8-5b0e68599b92"/>
      </ext>
    </extLst>
  </connection>
  <connection id="3" xr16:uid="{52D51720-F98B-483D-B699-0AEF824EEA3F}" keepAlive="1" name="Query - departments (2)" description="Connection to the 'departments (2)' query in the workbook." type="5" refreshedVersion="8" background="1">
    <dbPr connection="Provider=Microsoft.Mashup.OleDb.1;Data Source=$Workbook$;Location=&quot;departments (2)&quot;;Extended Properties=&quot;&quot;" command="SELECT * FROM [departments (2)]"/>
  </connection>
  <connection id="4" xr16:uid="{3291420F-5E21-4A93-ADFB-A64ECC83EDA9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&quot;&quot;" command="SELECT * FROM [employees]"/>
  </connection>
  <connection id="5" xr16:uid="{03DEFA9F-FAB4-4745-8044-A08AF75B85C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AB1F4799-F725-4C08-BE1E-D5598BE75524}" name="WorksheetConnection_employees.xlsx!employees" type="102" refreshedVersion="8" minRefreshableVersion="5">
    <extLst>
      <ext xmlns:x15="http://schemas.microsoft.com/office/spreadsheetml/2010/11/main" uri="{DE250136-89BD-433C-8126-D09CA5730AF9}">
        <x15:connection id="employees">
          <x15:rangePr sourceName="_xlcn.WorksheetConnection_employees.xlsxemployees"/>
        </x15:connection>
      </ext>
    </extLst>
  </connection>
  <connection id="7" xr16:uid="{2BDF681D-6F7C-42CD-ACC3-C9E22D56FEA0}" name="WorksheetConnection_Original Data set employees (3)!$A$7:$J$47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OriginalDatasetemployees3A7J47"/>
        </x15:connection>
      </ext>
    </extLst>
  </connection>
</connections>
</file>

<file path=xl/sharedStrings.xml><?xml version="1.0" encoding="utf-8"?>
<sst xmlns="http://schemas.openxmlformats.org/spreadsheetml/2006/main" count="3662" uniqueCount="322">
  <si>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</si>
  <si>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</si>
  <si>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</si>
  <si>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</si>
  <si>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</si>
  <si>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</si>
  <si>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</si>
  <si>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</si>
  <si>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</si>
  <si>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</si>
  <si>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</si>
  <si>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</si>
  <si>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</si>
  <si>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</si>
  <si>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</si>
  <si>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</si>
  <si>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</si>
  <si>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</si>
  <si>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</si>
  <si>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</si>
  <si>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</si>
  <si>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</si>
  <si>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</si>
  <si>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</si>
  <si>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</si>
  <si>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</si>
  <si>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</si>
  <si>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</si>
  <si>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</si>
  <si>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</si>
  <si>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</si>
  <si>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</si>
  <si>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</si>
  <si>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</si>
  <si>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</si>
  <si>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</si>
  <si>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</si>
  <si>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</si>
  <si>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</si>
  <si>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</si>
  <si>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</si>
  <si>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</si>
  <si>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</si>
  <si>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</si>
  <si>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</si>
  <si>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</si>
  <si>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</si>
  <si>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</si>
  <si>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</si>
  <si>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</si>
  <si>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</si>
  <si>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</si>
  <si>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</si>
  <si>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</si>
  <si>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</si>
  <si>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</si>
  <si>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</si>
  <si>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</si>
  <si>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</si>
  <si>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</si>
  <si>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</si>
  <si>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</si>
  <si>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</si>
  <si>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</si>
  <si>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</si>
  <si>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</si>
  <si>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</si>
  <si>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</si>
  <si>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</si>
  <si>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</si>
  <si>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</si>
  <si>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</si>
  <si>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</si>
  <si>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</si>
  <si>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</si>
  <si>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</si>
  <si>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</si>
  <si>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</si>
  <si>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</si>
  <si>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</si>
  <si>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</si>
  <si>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</si>
  <si>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</si>
  <si>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</si>
  <si>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</si>
  <si>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</si>
  <si>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</si>
  <si>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</si>
  <si>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</si>
  <si>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</si>
  <si>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</si>
  <si>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</si>
  <si>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</si>
  <si>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</si>
  <si>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</si>
  <si>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</si>
  <si>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</si>
  <si>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</si>
  <si>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</si>
  <si>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</si>
  <si>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</si>
  <si>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</si>
  <si>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</si>
  <si>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</si>
  <si>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</si>
  <si>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</si>
  <si>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</si>
  <si>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</si>
  <si>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</si>
  <si>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</si>
  <si>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</si>
  <si>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</si>
  <si>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</si>
  <si>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</si>
  <si>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</si>
  <si>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</si>
  <si>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</si>
  <si>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</si>
  <si>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</si>
  <si>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</si>
  <si>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</si>
  <si>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</si>
  <si>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</si>
  <si>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</si>
  <si>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</si>
  <si>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</si>
  <si>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</si>
  <si>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</si>
  <si>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</si>
  <si>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</si>
  <si>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</si>
  <si>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</si>
  <si>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</si>
  <si>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</si>
  <si>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</si>
  <si>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</si>
  <si>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</si>
  <si>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</si>
  <si>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</si>
  <si>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</si>
  <si>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</si>
  <si>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</si>
  <si>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</si>
  <si>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</si>
  <si>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</si>
  <si>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</si>
  <si>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</si>
  <si>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</si>
  <si>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</si>
  <si>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</si>
  <si>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</si>
  <si>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</si>
  <si>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</si>
  <si>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</si>
  <si>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</si>
  <si>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</si>
  <si>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</si>
  <si>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</si>
  <si>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</si>
  <si>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</si>
  <si>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</si>
  <si>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1. Apply conditional formatting to the entire row based on the Salary column in the Employees dataset to highlight salaries greater than 15000 in green.</t>
  </si>
  <si>
    <t>Answer- I selected the entire table excluding headers and applied new rule with keeping column as locked and rows changing $H8&gt;15000 and fill with green color</t>
  </si>
  <si>
    <t>2. Use conditional formatting to highlight employees hired in the last 4 years in yellow.</t>
  </si>
  <si>
    <t>3. In the Employees dataset, set up data validation to ensure that the Department ID column only accepts values that are present in the Departments dataset.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</si>
  <si>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</si>
  <si>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</si>
  <si>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</si>
  <si>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</si>
  <si>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</si>
  <si>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</si>
  <si>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</si>
  <si>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</si>
  <si>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</si>
  <si>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</si>
  <si>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</si>
  <si>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</si>
  <si>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</si>
  <si>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Answer- Here I copied the the department data to the excel sheet and used data validation and used the list option</t>
  </si>
  <si>
    <t>Full Name</t>
  </si>
  <si>
    <t>Username</t>
  </si>
  <si>
    <t>Steven King</t>
  </si>
  <si>
    <t>steven.king</t>
  </si>
  <si>
    <t>515 123 4567</t>
  </si>
  <si>
    <t>Neena Kochhar</t>
  </si>
  <si>
    <t>neena.kochhar</t>
  </si>
  <si>
    <t>515 123 4568</t>
  </si>
  <si>
    <t>Lex De Haan</t>
  </si>
  <si>
    <t>lex.de haan</t>
  </si>
  <si>
    <t>515 123 4569</t>
  </si>
  <si>
    <t>Alexander Hunold</t>
  </si>
  <si>
    <t>alexander.hunold</t>
  </si>
  <si>
    <t>590 423 4567</t>
  </si>
  <si>
    <t>Bruce Ernst</t>
  </si>
  <si>
    <t>bruce.ernst</t>
  </si>
  <si>
    <t>590 423 4568</t>
  </si>
  <si>
    <t>David Austin</t>
  </si>
  <si>
    <t>david.austin</t>
  </si>
  <si>
    <t>590 423 4569</t>
  </si>
  <si>
    <t>Valli Pataballa</t>
  </si>
  <si>
    <t>valli.pataballa</t>
  </si>
  <si>
    <t>590 423 4560</t>
  </si>
  <si>
    <t>Diana Lorentz</t>
  </si>
  <si>
    <t>diana.lorentz</t>
  </si>
  <si>
    <t>590 423 5567</t>
  </si>
  <si>
    <t>Nancy Greenberg</t>
  </si>
  <si>
    <t>nancy.greenberg</t>
  </si>
  <si>
    <t>515 124 4569</t>
  </si>
  <si>
    <t>Daniel Faviet</t>
  </si>
  <si>
    <t>daniel.faviet</t>
  </si>
  <si>
    <t>515 124 4169</t>
  </si>
  <si>
    <t>John Chen</t>
  </si>
  <si>
    <t>john.chen</t>
  </si>
  <si>
    <t>515 124 4269</t>
  </si>
  <si>
    <t>Ismael Sciarra</t>
  </si>
  <si>
    <t>ismael.sciarra</t>
  </si>
  <si>
    <t>515 124 4369</t>
  </si>
  <si>
    <t>Jose Manuel Urman</t>
  </si>
  <si>
    <t>jose manuel.urman</t>
  </si>
  <si>
    <t>515 124 4469</t>
  </si>
  <si>
    <t>Luis Popp</t>
  </si>
  <si>
    <t>luis.popp</t>
  </si>
  <si>
    <t>515 124 4567</t>
  </si>
  <si>
    <t>Den Raphaely</t>
  </si>
  <si>
    <t>den.raphaely</t>
  </si>
  <si>
    <t>515 127 4561</t>
  </si>
  <si>
    <t>Alexander Khoo</t>
  </si>
  <si>
    <t>alexander.khoo</t>
  </si>
  <si>
    <t>515 127 4562</t>
  </si>
  <si>
    <t>Shelli Baida</t>
  </si>
  <si>
    <t>shelli.baida</t>
  </si>
  <si>
    <t>515 127 4563</t>
  </si>
  <si>
    <t>Sigal Tobias</t>
  </si>
  <si>
    <t>sigal.tobias</t>
  </si>
  <si>
    <t>515 127 4564</t>
  </si>
  <si>
    <t>Guy Himuro</t>
  </si>
  <si>
    <t>guy.himuro</t>
  </si>
  <si>
    <t>515 127 4565</t>
  </si>
  <si>
    <t>Karen Colmenares</t>
  </si>
  <si>
    <t>karen.colmenares</t>
  </si>
  <si>
    <t>515 127 4566</t>
  </si>
  <si>
    <t>Matthew Weiss</t>
  </si>
  <si>
    <t>matthew.weiss</t>
  </si>
  <si>
    <t>650 123 1234</t>
  </si>
  <si>
    <t>Adam Fripp</t>
  </si>
  <si>
    <t>adam.fripp</t>
  </si>
  <si>
    <t>650 123 2234</t>
  </si>
  <si>
    <t>Payam Kaufling</t>
  </si>
  <si>
    <t>payam.kaufling</t>
  </si>
  <si>
    <t>650 123 3234</t>
  </si>
  <si>
    <t>Shanta Vollman</t>
  </si>
  <si>
    <t>shanta.vollman</t>
  </si>
  <si>
    <t>650 123 4234</t>
  </si>
  <si>
    <t>Irene Mikkilineni</t>
  </si>
  <si>
    <t>irene.mikkilineni</t>
  </si>
  <si>
    <t>650 124 1224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</si>
  <si>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</si>
  <si>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</si>
  <si>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</si>
  <si>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</si>
  <si>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</si>
  <si>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</si>
  <si>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</si>
  <si>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</si>
  <si>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</si>
  <si>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</si>
  <si>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</si>
  <si>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</si>
  <si>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</si>
  <si>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</si>
  <si>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650 501 1876</t>
  </si>
  <si>
    <t>Britney Everett</t>
  </si>
  <si>
    <t>britney.everett</t>
  </si>
  <si>
    <t>650 501 2876</t>
  </si>
  <si>
    <t>Jennifer Whalen</t>
  </si>
  <si>
    <t>jennifer.whalen</t>
  </si>
  <si>
    <t>515 123 4444</t>
  </si>
  <si>
    <t>Michael Hartstein</t>
  </si>
  <si>
    <t>michael.hartstein</t>
  </si>
  <si>
    <t>515 123 5555</t>
  </si>
  <si>
    <t>Pat Fay</t>
  </si>
  <si>
    <t>pat.fay</t>
  </si>
  <si>
    <t>603 123 6666</t>
  </si>
  <si>
    <t>Susan Mavris</t>
  </si>
  <si>
    <t>susan.mavris</t>
  </si>
  <si>
    <t>515 123 7777</t>
  </si>
  <si>
    <t>Hermann Baer</t>
  </si>
  <si>
    <t>hermann.baer</t>
  </si>
  <si>
    <t>515 123 8888</t>
  </si>
  <si>
    <t>Shelley Higgins</t>
  </si>
  <si>
    <t>shelley.higgins</t>
  </si>
  <si>
    <t>515 123 8080</t>
  </si>
  <si>
    <t>William Gietz</t>
  </si>
  <si>
    <t>william.gietz</t>
  </si>
  <si>
    <t>515 123 8181</t>
  </si>
  <si>
    <t/>
  </si>
  <si>
    <t>Row Labels</t>
  </si>
  <si>
    <t>Grand Total</t>
  </si>
  <si>
    <t>Column Labels</t>
  </si>
  <si>
    <t>Sum of salary</t>
  </si>
  <si>
    <t xml:space="preserve">Specified the relationship between the models </t>
  </si>
  <si>
    <t>Create a Power Pivot table to analyse the total and average salary per department.</t>
  </si>
  <si>
    <t>Average Salary</t>
  </si>
  <si>
    <t>Total Salary</t>
  </si>
  <si>
    <t>Use the Employees Table to filter and display only employees from the Sales department.</t>
  </si>
  <si>
    <t>Using index and match I found out the department id for sales and used the filter option in the table</t>
  </si>
  <si>
    <t>Create a button in the Excel sheet and assign the recorded macro to add a new employee.</t>
  </si>
  <si>
    <t>09-16-2024</t>
  </si>
  <si>
    <t xml:space="preserve">New </t>
  </si>
  <si>
    <t>User</t>
  </si>
  <si>
    <t>new.user@sqltutorial.org</t>
  </si>
  <si>
    <t>515.111.2121</t>
  </si>
  <si>
    <t>Use cell references to create a formula that calculates the average salary of all employees.</t>
  </si>
  <si>
    <t>Formula used=AVERAGE($H$8:$H$47)</t>
  </si>
  <si>
    <t>Note</t>
  </si>
  <si>
    <t>Blue is the color to highlight overall highest salary and green for highest salary for each department</t>
  </si>
  <si>
    <t>Note- after applying filter the index and match is hidden it is applied in M8 cell</t>
  </si>
  <si>
    <t>Average</t>
  </si>
  <si>
    <t>Last hire date year is 2000 so I am taking it as reference as if today's date 2024 is taken then we can have no records meeting the criteria</t>
  </si>
  <si>
    <t>max date</t>
  </si>
  <si>
    <t>4 years old date</t>
  </si>
  <si>
    <t>Formula = =AND($F9&gt;=$M$10,$F9&lt;=$M$9)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</si>
</sst>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5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FF0000"/>
      <name val="Aptos Narrow"/>
      <family val="2"/>
      <scheme val="minor"/>
    </font>
    <font>
      <b/>
      <u/>
      <sz val="14"/>
      <color rgb="FFFF0000"/>
      <name val="Aptos Narrow"/>
      <family val="2"/>
      <scheme val="minor"/>
    </font>
    <font>
      <b/>
      <u/>
      <sz val="11"/>
      <color theme="9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3" fillId="0" borderId="0" xfId="0" applyFont="1"/>
    <xf numFmtId="0" fontId="4" fillId="0" borderId="0" xfId="0" applyFont="1"/>
    <xf numFmtId="14" fontId="5" fillId="0" borderId="0" xfId="0" applyNumberFormat="1" applyFont="1"/>
    <xf numFmtId="0" fontId="9" fillId="0" borderId="0" xfId="0" applyFont="1"/>
    <xf numFmtId="0" fontId="10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11" fillId="0" borderId="0" xfId="0" applyFont="1"/>
    <xf numFmtId="0" fontId="3" fillId="2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0" fillId="0" borderId="1" xfId="0" applyBorder="1"/>
    <xf numFmtId="0" fontId="12" fillId="0" borderId="0" xfId="0" applyFont="1"/>
    <xf numFmtId="14" fontId="0" fillId="0" borderId="0" xfId="0" applyNumberFormat="1"/>
    <xf numFmtId="0" fontId="6" fillId="4" borderId="3" xfId="0" applyFont="1" applyFill="1" applyBorder="1"/>
    <xf numFmtId="0" fontId="6" fillId="4" borderId="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3" fillId="0" borderId="0" xfId="0" applyFont="1"/>
    <xf numFmtId="14" fontId="0" fillId="0" borderId="1" xfId="0" applyNumberFormat="1" applyBorder="1"/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4" fillId="0" borderId="2" xfId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4" fillId="0" borderId="1" xfId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10" fillId="3" borderId="0" xfId="0" applyFont="1" applyFill="1"/>
    <xf numFmtId="0" fontId="9" fillId="0" borderId="5" xfId="0" applyFont="1" applyBorder="1"/>
    <xf numFmtId="0" fontId="9" fillId="5" borderId="6" xfId="0" applyFont="1" applyFill="1" applyBorder="1"/>
    <xf numFmtId="0" fontId="1" fillId="0" borderId="0" xfId="0" applyFont="1"/>
    <xf numFmtId="0" fontId="3" fillId="2" borderId="0" xfId="0" applyFont="1" applyFill="1"/>
  </cellXfs>
  <cellStyles count="2">
    <cellStyle name="Hyperlink" xfId="1" builtinId="8"/>
    <cellStyle name="Normal" xfId="0" builtinId="0"/>
  </cellStyles>
  <dxfs count="52">
    <dxf>
      <numFmt numFmtId="164" formatCode="&quot;₹&quot;\ #,##0.00"/>
    </dxf>
    <dxf>
      <fill>
        <patternFill>
          <bgColor theme="4" tint="0.39994506668294322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numFmt numFmtId="164" formatCode="&quot;₹&quot;\ #,##0.00"/>
    </dxf>
    <dxf>
      <numFmt numFmtId="2" formatCode="0.0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975360</xdr:colOff>
      <xdr:row>2</xdr:row>
      <xdr:rowOff>121920</xdr:rowOff>
    </xdr:from>
    <xdr:to>
      <xdr:col>4</xdr:col>
      <xdr:colOff>350520</xdr:colOff>
      <xdr:row>4</xdr:row>
      <xdr:rowOff>144780</xdr:rowOff>
    </xdr:to>
    <xdr:sp macro="[0]!newuser" textlink="">
      <xdr:nvSpPr>
        <xdr:cNvPr id="2" name="Rectangle 1">
          <a:extLst>
            <a:ext uri="{FF2B5EF4-FFF2-40B4-BE49-F238E27FC236}">
              <a16:creationId xmlns:a16="http://schemas.microsoft.com/office/drawing/2014/main" id="{12A62592-3190-D33E-A7D3-72FD2ACC3A90}"/>
            </a:ext>
          </a:extLst>
        </xdr:cNvPr>
        <xdr:cNvSpPr/>
      </xdr:nvSpPr>
      <xdr:spPr>
        <a:xfrm>
          <a:off x="7498080" y="502920"/>
          <a:ext cx="1424940" cy="4038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New Row BUtton</a:t>
          </a:r>
        </a:p>
        <a:p>
          <a:pPr algn="l"/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vi Rath" refreshedDate="45551.55240601852" backgroundQuery="1" createdVersion="8" refreshedVersion="8" minRefreshableVersion="3" recordCount="0" supportSubquery="1" supportAdvancedDrill="1" xr:uid="{F87C9C3B-68AF-4BAF-BA58-6623872895D8}">
  <cacheSource type="external" connectionId="5"/>
  <cacheFields count="4">
    <cacheField name="[employees].[Full Name].[Full Name]" caption="Full Name" numFmtId="0" hierarchy="6" level="1">
      <sharedItems count="40">
        <s v="Adam Fripp"/>
        <s v="Alexander Hunold"/>
        <s v="Alexander Khoo"/>
        <s v="Britney Everett"/>
        <s v="Bruce Ernst"/>
        <s v="Charles Johnson"/>
        <s v="Daniel Faviet"/>
        <s v="David Austin"/>
        <s v="Den Raphaely"/>
        <s v="Diana Lorentz"/>
        <s v="Guy Himuro"/>
        <s v="Hermann Baer"/>
        <s v="Irene Mikkilineni"/>
        <s v="Ismael Sciarra"/>
        <s v="Jack Livingston"/>
        <s v="Jennifer Whalen"/>
        <s v="John Chen"/>
        <s v="John Russell"/>
        <s v="Jonathon Taylor"/>
        <s v="Jose Manuel Urman"/>
        <s v="Karen Colmenares"/>
        <s v="Karen Partners"/>
        <s v="Kimberely Grant"/>
        <s v="Lex De Haan"/>
        <s v="Luis Popp"/>
        <s v="Matthew Weiss"/>
        <s v="Michael Hartstein"/>
        <s v="Nancy Greenberg"/>
        <s v="Neena Kochhar"/>
        <s v="Pat Fay"/>
        <s v="Payam Kaufling"/>
        <s v="Sarah Bell"/>
        <s v="Shanta Vollman"/>
        <s v="Shelley Higgins"/>
        <s v="Shelli Baida"/>
        <s v="Sigal Tobias"/>
        <s v="Steven King"/>
        <s v="Susan Mavris"/>
        <s v="Valli Pataballa"/>
        <s v="William Gietz"/>
      </sharedItems>
    </cacheField>
    <cacheField name="[departments].[department_id].[department_id]" caption="department_id" numFmtId="0" level="1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  <extLst>
        <ext xmlns:x15="http://schemas.microsoft.com/office/spreadsheetml/2010/11/main" uri="{4F2E5C28-24EA-4eb8-9CBF-B6C8F9C3D259}">
          <x15:cachedUniqueNames>
            <x15:cachedUniqueName index="0" name="[departments].[department_id].&amp;[1]"/>
            <x15:cachedUniqueName index="1" name="[departments].[department_id].&amp;[2]"/>
            <x15:cachedUniqueName index="2" name="[departments].[department_id].&amp;[3]"/>
            <x15:cachedUniqueName index="3" name="[departments].[department_id].&amp;[4]"/>
            <x15:cachedUniqueName index="4" name="[departments].[department_id].&amp;[5]"/>
            <x15:cachedUniqueName index="5" name="[departments].[department_id].&amp;[6]"/>
            <x15:cachedUniqueName index="6" name="[departments].[department_id].&amp;[7]"/>
            <x15:cachedUniqueName index="7" name="[departments].[department_id].&amp;[8]"/>
            <x15:cachedUniqueName index="8" name="[departments].[department_id].&amp;[9]"/>
            <x15:cachedUniqueName index="9" name="[departments].[department_id].&amp;[10]"/>
            <x15:cachedUniqueName index="10" name="[departments].[department_id].&amp;[11]"/>
          </x15:cachedUniqueNames>
        </ext>
      </extLst>
    </cacheField>
    <cacheField name="[departments].[department_name].[department_name]" caption="department_name" numFmtId="0" hierarchy="1" level="1">
      <sharedItems count="11">
        <s v="Administration"/>
        <s v="Marketing"/>
        <s v="Purchasing"/>
        <s v="Human Resources"/>
        <s v="Shipping"/>
        <s v="IT"/>
        <s v="Public Relations"/>
        <s v="Sales"/>
        <s v="Executive"/>
        <s v="Finance"/>
        <s v="Accounting"/>
      </sharedItems>
    </cacheField>
    <cacheField name="[Measures].[Sum of salary]" caption="Sum of salary" numFmtId="0" hierarchy="31" level="32767"/>
  </cacheFields>
  <cacheHierarchies count="33">
    <cacheHierarchy uniqueName="[departments].[department_id]" caption="department_id" attribute="1" defaultMemberUniqueName="[departments].[department_id].[All]" allUniqueName="[departments].[department_id].[All]" dimensionUniqueName="[departments]" displayFolder="" count="2" memberValueDatatype="20" unbalanced="0">
      <fieldsUsage count="2">
        <fieldUsage x="-1"/>
        <fieldUsage x="1"/>
      </fieldsUsage>
    </cacheHierarchy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2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20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20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Full Name]" caption="Full Name" attribute="1" defaultMemberUniqueName="[employees].[Full Name].[All]" allUniqueName="[employees].[Full Name].[All]" dimensionUniqueName="[employees]" displayFolder="" count="2" memberValueDatatype="130" unbalanced="0">
      <fieldsUsage count="2">
        <fieldUsage x="-1"/>
        <fieldUsage x="0"/>
      </fieldsUsage>
    </cacheHierarchy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Username]" caption="Username" attribute="1" defaultMemberUniqueName="[employees].[Username].[All]" allUniqueName="[employees].[Username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20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20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20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20" unbalanced="0"/>
    <cacheHierarchy uniqueName="[Range].[employee_id]" caption="employee_id" attribute="1" defaultMemberUniqueName="[Range].[employee_id].[All]" allUniqueName="[Range].[employee_id].[All]" dimensionUniqueName="[Range]" displayFolder="" count="0" memberValueDatatype="20" unbalanced="0"/>
    <cacheHierarchy uniqueName="[Range].[first_name]" caption="first_name" attribute="1" defaultMemberUniqueName="[Range].[first_name].[All]" allUniqueName="[Range].[first_name].[All]" dimensionUniqueName="[Range]" displayFolder="" count="0" memberValueDatatype="130" unbalanced="0"/>
    <cacheHierarchy uniqueName="[Range].[last_name]" caption="last_name" attribute="1" defaultMemberUniqueName="[Range].[last_name].[All]" allUniqueName="[Range].[last_name].[All]" dimensionUniqueName="[Range]" displayFolder="" count="0" memberValueDatatype="130" unbalanced="0"/>
    <cacheHierarchy uniqueName="[Range].[email]" caption="email" attribute="1" defaultMemberUniqueName="[Range].[email].[All]" allUniqueName="[Range].[email].[All]" dimensionUniqueName="[Range]" displayFolder="" count="0" memberValueDatatype="130" unbalanced="0"/>
    <cacheHierarchy uniqueName="[Range].[phone_number]" caption="phone_number" attribute="1" defaultMemberUniqueName="[Range].[phone_number].[All]" allUniqueName="[Range].[phone_number].[All]" dimensionUniqueName="[Range]" displayFolder="" count="0" memberValueDatatype="130" unbalanced="0"/>
    <cacheHierarchy uniqueName="[Range].[hire_date]" caption="hire_date" attribute="1" time="1" defaultMemberUniqueName="[Range].[hire_date].[All]" allUniqueName="[Range].[hire_date].[All]" dimensionUniqueName="[Range]" displayFolder="" count="0" memberValueDatatype="7" unbalanced="0"/>
    <cacheHierarchy uniqueName="[Range].[job_id]" caption="job_id" attribute="1" defaultMemberUniqueName="[Range].[job_id].[All]" allUniqueName="[Range].[job_id].[All]" dimensionUniqueName="[Range]" displayFolder="" count="0" memberValueDatatype="20" unbalanced="0"/>
    <cacheHierarchy uniqueName="[Range].[salary]" caption="salary" attribute="1" defaultMemberUniqueName="[Range].[salary].[All]" allUniqueName="[Range].[salary].[All]" dimensionUniqueName="[Range]" displayFolder="" count="0" memberValueDatatype="20" unbalanced="0"/>
    <cacheHierarchy uniqueName="[Range].[manager_id]" caption="manager_id" attribute="1" defaultMemberUniqueName="[Range].[manager_id].[All]" allUniqueName="[Range].[manager_id].[All]" dimensionUniqueName="[Range]" displayFolder="" count="0" memberValueDatatype="20" unbalanced="0"/>
    <cacheHierarchy uniqueName="[Range].[department_id]" caption="department_id" attribute="1" defaultMemberUniqueName="[Range].[department_id].[All]" allUniqueName="[Range].[department_id].[All]" dimensionUniqueName="[Range]" displayFolder="" count="0" memberValueDatatype="20" unbalanced="0"/>
    <cacheHierarchy uniqueName="[Measures].[__XL_Count departments]" caption="__XL_Count departments" measure="1" displayFolder="" measureGroup="departments" count="0" hidden="1"/>
    <cacheHierarchy uniqueName="[Measures].[__XL_Count employees]" caption="__XL_Count employees" measure="1" displayFolder="" measureGroup="employees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department_id]" caption="Sum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epartment_id]" caption="Count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salary]" caption="Sum of salary" measure="1" displayFolder="" measureGroup="employe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salary]" caption="Average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name="departments" uniqueName="[departments]" caption="departments"/>
    <dimension name="employees" uniqueName="[employees]" caption="employees"/>
    <dimension measure="1" name="Measures" uniqueName="[Measures]" caption="Measures"/>
    <dimension name="Range" uniqueName="[Range]" caption="Range"/>
  </dimensions>
  <measureGroups count="3">
    <measureGroup name="departments" caption="departments"/>
    <measureGroup name="employees" caption="employees"/>
    <measureGroup name="Range" caption="Range"/>
  </measureGroups>
  <maps count="4">
    <map measureGroup="0" dimension="0"/>
    <map measureGroup="1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vi Rath" refreshedDate="45551.555076736113" backgroundQuery="1" createdVersion="8" refreshedVersion="8" minRefreshableVersion="3" recordCount="0" supportSubquery="1" supportAdvancedDrill="1" xr:uid="{C93A63EE-9A33-44B5-9690-8F560D3B0186}">
  <cacheSource type="external" connectionId="5"/>
  <cacheFields count="3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31" level="32767"/>
    <cacheField name="[Measures].[Average of salary]" caption="Average of salary" numFmtId="0" hierarchy="32" level="32767"/>
  </cacheFields>
  <cacheHierarchies count="33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20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20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20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Full Name]" caption="Full Name" attribute="1" defaultMemberUniqueName="[employees].[Full Name].[All]" allUniqueName="[employees].[Full 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Username]" caption="Username" attribute="1" defaultMemberUniqueName="[employees].[Username].[All]" allUniqueName="[employees].[Username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20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20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20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20" unbalanced="0"/>
    <cacheHierarchy uniqueName="[Range].[employee_id]" caption="employee_id" attribute="1" defaultMemberUniqueName="[Range].[employee_id].[All]" allUniqueName="[Range].[employee_id].[All]" dimensionUniqueName="[Range]" displayFolder="" count="0" memberValueDatatype="20" unbalanced="0"/>
    <cacheHierarchy uniqueName="[Range].[first_name]" caption="first_name" attribute="1" defaultMemberUniqueName="[Range].[first_name].[All]" allUniqueName="[Range].[first_name].[All]" dimensionUniqueName="[Range]" displayFolder="" count="0" memberValueDatatype="130" unbalanced="0"/>
    <cacheHierarchy uniqueName="[Range].[last_name]" caption="last_name" attribute="1" defaultMemberUniqueName="[Range].[last_name].[All]" allUniqueName="[Range].[last_name].[All]" dimensionUniqueName="[Range]" displayFolder="" count="0" memberValueDatatype="130" unbalanced="0"/>
    <cacheHierarchy uniqueName="[Range].[email]" caption="email" attribute="1" defaultMemberUniqueName="[Range].[email].[All]" allUniqueName="[Range].[email].[All]" dimensionUniqueName="[Range]" displayFolder="" count="0" memberValueDatatype="130" unbalanced="0"/>
    <cacheHierarchy uniqueName="[Range].[phone_number]" caption="phone_number" attribute="1" defaultMemberUniqueName="[Range].[phone_number].[All]" allUniqueName="[Range].[phone_number].[All]" dimensionUniqueName="[Range]" displayFolder="" count="0" memberValueDatatype="130" unbalanced="0"/>
    <cacheHierarchy uniqueName="[Range].[hire_date]" caption="hire_date" attribute="1" time="1" defaultMemberUniqueName="[Range].[hire_date].[All]" allUniqueName="[Range].[hire_date].[All]" dimensionUniqueName="[Range]" displayFolder="" count="0" memberValueDatatype="7" unbalanced="0"/>
    <cacheHierarchy uniqueName="[Range].[job_id]" caption="job_id" attribute="1" defaultMemberUniqueName="[Range].[job_id].[All]" allUniqueName="[Range].[job_id].[All]" dimensionUniqueName="[Range]" displayFolder="" count="0" memberValueDatatype="20" unbalanced="0"/>
    <cacheHierarchy uniqueName="[Range].[salary]" caption="salary" attribute="1" defaultMemberUniqueName="[Range].[salary].[All]" allUniqueName="[Range].[salary].[All]" dimensionUniqueName="[Range]" displayFolder="" count="0" memberValueDatatype="20" unbalanced="0"/>
    <cacheHierarchy uniqueName="[Range].[manager_id]" caption="manager_id" attribute="1" defaultMemberUniqueName="[Range].[manager_id].[All]" allUniqueName="[Range].[manager_id].[All]" dimensionUniqueName="[Range]" displayFolder="" count="0" memberValueDatatype="20" unbalanced="0"/>
    <cacheHierarchy uniqueName="[Range].[department_id]" caption="department_id" attribute="1" defaultMemberUniqueName="[Range].[department_id].[All]" allUniqueName="[Range].[department_id].[All]" dimensionUniqueName="[Range]" displayFolder="" count="0" memberValueDatatype="20" unbalanced="0"/>
    <cacheHierarchy uniqueName="[Measures].[__XL_Count departments]" caption="__XL_Count departments" measure="1" displayFolder="" measureGroup="departments" count="0" hidden="1"/>
    <cacheHierarchy uniqueName="[Measures].[__XL_Count employees]" caption="__XL_Count employees" measure="1" displayFolder="" measureGroup="employees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department_id]" caption="Sum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epartment_id]" caption="Count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salary]" caption="Sum of salary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salary]" caption="Average of salary" measure="1" displayFolder="" measureGroup="employe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name="departments" uniqueName="[departments]" caption="departments"/>
    <dimension name="employees" uniqueName="[employees]" caption="employees"/>
    <dimension measure="1" name="Measures" uniqueName="[Measures]" caption="Measures"/>
    <dimension name="Range" uniqueName="[Range]" caption="Range"/>
  </dimensions>
  <measureGroups count="3">
    <measureGroup name="departments" caption="departments"/>
    <measureGroup name="employees" caption="employees"/>
    <measureGroup name="Range" caption="Range"/>
  </measureGroups>
  <maps count="4">
    <map measureGroup="0" dimension="0"/>
    <map measureGroup="1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vi Rath" refreshedDate="45551.579836805555" backgroundQuery="1" createdVersion="8" refreshedVersion="8" minRefreshableVersion="3" recordCount="0" supportSubquery="1" supportAdvancedDrill="1" xr:uid="{E022C3C8-FB5B-4D68-95ED-4BA4968E09CF}">
  <cacheSource type="external" connectionId="5"/>
  <cacheFields count="3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31" level="32767"/>
    <cacheField name="[employees].[Full Name].[Full Name]" caption="Full Name" numFmtId="0" hierarchy="6" level="1">
      <sharedItems count="40">
        <s v="Shelley Higgins"/>
        <s v="William Gietz"/>
        <s v="Jennifer Whalen"/>
        <s v="Lex De Haan"/>
        <s v="Neena Kochhar"/>
        <s v="Steven King"/>
        <s v="Daniel Faviet"/>
        <s v="Ismael Sciarra"/>
        <s v="John Chen"/>
        <s v="Jose Manuel Urman"/>
        <s v="Luis Popp"/>
        <s v="Nancy Greenberg"/>
        <s v="Susan Mavris"/>
        <s v="Alexander Hunold"/>
        <s v="Bruce Ernst"/>
        <s v="David Austin"/>
        <s v="Diana Lorentz"/>
        <s v="Valli Pataballa"/>
        <s v="Michael Hartstein"/>
        <s v="Pat Fay"/>
        <s v="Hermann Baer"/>
        <s v="Alexander Khoo"/>
        <s v="Den Raphaely"/>
        <s v="Guy Himuro"/>
        <s v="Karen Colmenares"/>
        <s v="Shelli Baida"/>
        <s v="Sigal Tobias"/>
        <s v="Charles Johnson"/>
        <s v="Jack Livingston"/>
        <s v="John Russell"/>
        <s v="Jonathon Taylor"/>
        <s v="Karen Partners"/>
        <s v="Kimberely Grant"/>
        <s v="Adam Fripp"/>
        <s v="Britney Everett"/>
        <s v="Irene Mikkilineni"/>
        <s v="Matthew Weiss"/>
        <s v="Payam Kaufling"/>
        <s v="Sarah Bell"/>
        <s v="Shanta Vollman"/>
      </sharedItems>
    </cacheField>
  </cacheFields>
  <cacheHierarchies count="33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20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20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20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Full Name]" caption="Full Name" attribute="1" defaultMemberUniqueName="[employees].[Full Name].[All]" allUniqueName="[employees].[Full Name].[All]" dimensionUniqueName="[employees]" displayFolder="" count="2" memberValueDatatype="130" unbalanced="0">
      <fieldsUsage count="2">
        <fieldUsage x="-1"/>
        <fieldUsage x="2"/>
      </fieldsUsage>
    </cacheHierarchy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Username]" caption="Username" attribute="1" defaultMemberUniqueName="[employees].[Username].[All]" allUniqueName="[employees].[Username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20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20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20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20" unbalanced="0"/>
    <cacheHierarchy uniqueName="[Range].[employee_id]" caption="employee_id" attribute="1" defaultMemberUniqueName="[Range].[employee_id].[All]" allUniqueName="[Range].[employee_id].[All]" dimensionUniqueName="[Range]" displayFolder="" count="0" memberValueDatatype="20" unbalanced="0"/>
    <cacheHierarchy uniqueName="[Range].[first_name]" caption="first_name" attribute="1" defaultMemberUniqueName="[Range].[first_name].[All]" allUniqueName="[Range].[first_name].[All]" dimensionUniqueName="[Range]" displayFolder="" count="0" memberValueDatatype="130" unbalanced="0"/>
    <cacheHierarchy uniqueName="[Range].[last_name]" caption="last_name" attribute="1" defaultMemberUniqueName="[Range].[last_name].[All]" allUniqueName="[Range].[last_name].[All]" dimensionUniqueName="[Range]" displayFolder="" count="0" memberValueDatatype="130" unbalanced="0"/>
    <cacheHierarchy uniqueName="[Range].[email]" caption="email" attribute="1" defaultMemberUniqueName="[Range].[email].[All]" allUniqueName="[Range].[email].[All]" dimensionUniqueName="[Range]" displayFolder="" count="0" memberValueDatatype="130" unbalanced="0"/>
    <cacheHierarchy uniqueName="[Range].[phone_number]" caption="phone_number" attribute="1" defaultMemberUniqueName="[Range].[phone_number].[All]" allUniqueName="[Range].[phone_number].[All]" dimensionUniqueName="[Range]" displayFolder="" count="0" memberValueDatatype="130" unbalanced="0"/>
    <cacheHierarchy uniqueName="[Range].[hire_date]" caption="hire_date" attribute="1" time="1" defaultMemberUniqueName="[Range].[hire_date].[All]" allUniqueName="[Range].[hire_date].[All]" dimensionUniqueName="[Range]" displayFolder="" count="0" memberValueDatatype="7" unbalanced="0"/>
    <cacheHierarchy uniqueName="[Range].[job_id]" caption="job_id" attribute="1" defaultMemberUniqueName="[Range].[job_id].[All]" allUniqueName="[Range].[job_id].[All]" dimensionUniqueName="[Range]" displayFolder="" count="0" memberValueDatatype="20" unbalanced="0"/>
    <cacheHierarchy uniqueName="[Range].[salary]" caption="salary" attribute="1" defaultMemberUniqueName="[Range].[salary].[All]" allUniqueName="[Range].[salary].[All]" dimensionUniqueName="[Range]" displayFolder="" count="0" memberValueDatatype="20" unbalanced="0"/>
    <cacheHierarchy uniqueName="[Range].[manager_id]" caption="manager_id" attribute="1" defaultMemberUniqueName="[Range].[manager_id].[All]" allUniqueName="[Range].[manager_id].[All]" dimensionUniqueName="[Range]" displayFolder="" count="0" memberValueDatatype="20" unbalanced="0"/>
    <cacheHierarchy uniqueName="[Range].[department_id]" caption="department_id" attribute="1" defaultMemberUniqueName="[Range].[department_id].[All]" allUniqueName="[Range].[department_id].[All]" dimensionUniqueName="[Range]" displayFolder="" count="0" memberValueDatatype="20" unbalanced="0"/>
    <cacheHierarchy uniqueName="[Measures].[__XL_Count departments]" caption="__XL_Count departments" measure="1" displayFolder="" measureGroup="departments" count="0" hidden="1"/>
    <cacheHierarchy uniqueName="[Measures].[__XL_Count employees]" caption="__XL_Count employees" measure="1" displayFolder="" measureGroup="employees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department_id]" caption="Sum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epartment_id]" caption="Count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salary]" caption="Sum of salary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salary]" caption="Average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name="departments" uniqueName="[departments]" caption="departments"/>
    <dimension name="employees" uniqueName="[employees]" caption="employees"/>
    <dimension measure="1" name="Measures" uniqueName="[Measures]" caption="Measures"/>
    <dimension name="Range" uniqueName="[Range]" caption="Range"/>
  </dimensions>
  <measureGroups count="3">
    <measureGroup name="departments" caption="departments"/>
    <measureGroup name="employees" caption="employees"/>
    <measureGroup name="Range" caption="Range"/>
  </measureGroups>
  <maps count="4">
    <map measureGroup="0" dimension="0"/>
    <map measureGroup="1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2900E-156E-4D67-A126-0684177F62DD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M46" firstHeaderRow="1" firstDataRow="3" firstDataCol="1"/>
  <pivotFields count="4"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axis="axisCol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2">
    <field x="1"/>
    <field x="2"/>
  </colFields>
  <colItems count="12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 t="grand">
      <x/>
    </i>
  </colItems>
  <dataFields count="1">
    <dataField name="Sum of salary" fld="3" baseField="0" baseItem="0"/>
  </dataField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unt of department_i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2">
    <colHierarchyUsage hierarchyUsage="0"/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ange]"/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CAA18-25A8-411D-AC13-B7B9F0F021F0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5" firstHeaderRow="0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Salary" fld="1" baseField="0" baseItem="0"/>
    <dataField name="Average Salary" fld="2" subtotal="average" baseField="0" baseItem="0" numFmtId="2"/>
  </dataFields>
  <formats count="2">
    <format dxfId="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">
      <pivotArea outline="0" collapsedLevelsAreSubtotals="1" fieldPosition="0"/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Salary"/>
    <pivotHierarchy dragToData="1" caption="Average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ange]"/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8EF885-E0C3-4634-BB13-E0440E9D44A7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53" firstHeaderRow="1" firstDataRow="1" firstDataCol="1"/>
  <pivotFields count="3">
    <pivotField axis="axisRow" allDrilled="1" subtotalTop="0" showAll="0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</pivotFields>
  <rowFields count="2">
    <field x="0"/>
    <field x="2"/>
  </rowFields>
  <rowItems count="52">
    <i>
      <x/>
    </i>
    <i r="1">
      <x/>
    </i>
    <i r="1">
      <x v="1"/>
    </i>
    <i>
      <x v="1"/>
    </i>
    <i r="1">
      <x v="2"/>
    </i>
    <i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>
      <x v="5"/>
    </i>
    <i r="1">
      <x v="13"/>
    </i>
    <i r="1">
      <x v="14"/>
    </i>
    <i r="1">
      <x v="15"/>
    </i>
    <i r="1">
      <x v="16"/>
    </i>
    <i r="1">
      <x v="17"/>
    </i>
    <i>
      <x v="6"/>
    </i>
    <i r="1">
      <x v="18"/>
    </i>
    <i r="1">
      <x v="19"/>
    </i>
    <i>
      <x v="7"/>
    </i>
    <i r="1">
      <x v="20"/>
    </i>
    <i>
      <x v="8"/>
    </i>
    <i r="1">
      <x v="21"/>
    </i>
    <i r="1">
      <x v="22"/>
    </i>
    <i r="1">
      <x v="23"/>
    </i>
    <i r="1">
      <x v="24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r="1">
      <x v="32"/>
    </i>
    <i>
      <x v="10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Items count="1">
    <i/>
  </colItems>
  <dataFields count="1">
    <dataField name="Sum of salary" fld="1" baseField="0" baseItem="0" numFmtId="164"/>
  </dataFields>
  <formats count="1">
    <format dxfId="0">
      <pivotArea outline="0" collapsedLevelsAreSubtotals="1" fieldPosition="0"/>
    </format>
  </formats>
  <conditionalFormats count="2">
    <conditionalFormat type="all" priority="1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>
              <x v="2"/>
            </reference>
          </references>
        </pivotArea>
      </pivotAreas>
    </conditionalFormat>
    <conditionalFormat type="all" priority="17">
      <pivotAreas count="10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0"/>
            </reference>
          </references>
        </pivotArea>
      </pivotAreas>
    </conditionalFormat>
  </conditional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Department Id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0AEA631-9361-416F-976F-3840CCE443E8}" autoFormatId="16" applyNumberFormats="0" applyBorderFormats="0" applyFontFormats="0" applyPatternFormats="0" applyAlignmentFormats="0" applyWidthHeightFormats="0">
  <queryTableRefresh nextId="13">
    <queryTableFields count="12">
      <queryTableField id="1" name="employee_id" tableColumnId="1"/>
      <queryTableField id="2" name="first_name" tableColumnId="2"/>
      <queryTableField id="3" name="last_name" tableColumnId="3"/>
      <queryTableField id="4" name="Full Name" tableColumnId="4"/>
      <queryTableField id="5" name="email" tableColumnId="5"/>
      <queryTableField id="6" name="Username" tableColumnId="6"/>
      <queryTableField id="7" name="phone_number" tableColumnId="7"/>
      <queryTableField id="8" name="hire_date" tableColumnId="8"/>
      <queryTableField id="9" name="job_id" tableColumnId="9"/>
      <queryTableField id="10" name="salary" tableColumnId="10"/>
      <queryTableField id="11" name="manager_id" tableColumnId="11"/>
      <queryTableField id="12" name="department_id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epartments" backgroundRefresh="0" connectionId="1" xr16:uid="{2FD5332A-D37F-4802-896B-2C2FD6A80AF6}" autoFormatId="16" applyNumberFormats="0" applyBorderFormats="0" applyFontFormats="0" applyPatternFormats="0" applyAlignmentFormats="0" applyWidthHeightFormats="0">
  <queryTableRefresh nextId="4">
    <queryTableFields count="3">
      <queryTableField id="1" name="department_id" tableColumnId="1"/>
      <queryTableField id="2" name="department_name" tableColumnId="2"/>
      <queryTableField id="3" name="location_id" tableColumnId="3"/>
    </queryTableFields>
  </queryTableRefresh>
  <extLst>
    <ext xmlns:x15="http://schemas.microsoft.com/office/spreadsheetml/2010/11/main" uri="{883FBD77-0823-4a55-B5E3-86C4891E6966}">
      <x15:queryTable sourceDataName="Query - department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8D2869-3588-4E39-88F2-68D1E5BD39F2}" name="employees" displayName="employees" ref="A1:L1000" tableType="queryTable" totalsRowShown="0">
  <autoFilter ref="A1:L1000" xr:uid="{958D2869-3588-4E39-88F2-68D1E5BD39F2}"/>
  <tableColumns count="12">
    <tableColumn id="1" xr3:uid="{E5651273-CBAC-4645-ADF4-27F04F7838ED}" uniqueName="1" name="employee_id" queryTableFieldId="1"/>
    <tableColumn id="2" xr3:uid="{3044AB5C-9F6A-4353-B478-BDAABA1C8F05}" uniqueName="2" name="first_name" queryTableFieldId="2" dataDxfId="49"/>
    <tableColumn id="3" xr3:uid="{1AF04676-9BE5-4EBF-9E24-D81AAB8D8778}" uniqueName="3" name="last_name" queryTableFieldId="3" dataDxfId="48"/>
    <tableColumn id="4" xr3:uid="{C68F65DD-6298-455A-A359-60D31FFD78A6}" uniqueName="4" name="Full Name" queryTableFieldId="4" dataDxfId="47"/>
    <tableColumn id="5" xr3:uid="{00058546-DF08-4EBB-8FEE-88811355639A}" uniqueName="5" name="email" queryTableFieldId="5" dataDxfId="46"/>
    <tableColumn id="6" xr3:uid="{60D51A45-50FC-4D52-83A3-62F41D20AD37}" uniqueName="6" name="Username" queryTableFieldId="6" dataDxfId="45"/>
    <tableColumn id="7" xr3:uid="{DBD359BF-DFD2-4589-9F9A-0038CA67225A}" uniqueName="7" name="phone_number" queryTableFieldId="7" dataDxfId="44"/>
    <tableColumn id="8" xr3:uid="{CBBC2B35-5A80-4026-BC10-04FEC2B6515B}" uniqueName="8" name="hire_date" queryTableFieldId="8" dataDxfId="43"/>
    <tableColumn id="9" xr3:uid="{5FD6B5B6-33D5-40E2-BBF4-C3813BF8CBF5}" uniqueName="9" name="job_id" queryTableFieldId="9"/>
    <tableColumn id="10" xr3:uid="{9F2CA422-61FA-479B-BBD7-7CA3F82691D0}" uniqueName="10" name="salary" queryTableFieldId="10"/>
    <tableColumn id="11" xr3:uid="{76A6E3D6-890C-431D-9692-CF95E5C39D3D}" uniqueName="11" name="manager_id" queryTableFieldId="11"/>
    <tableColumn id="12" xr3:uid="{8C8B0B05-5DBF-45E1-AEA0-332E129B7E6A}" uniqueName="12" name="department_id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9E9B25-65AF-42E6-8E5F-C7C9D513B3E4}" name="Employees_Table" displayName="Employees_Table" ref="A7:J47" totalsRowShown="0" headerRowDxfId="40" dataDxfId="39">
  <autoFilter ref="A7:J47" xr:uid="{B29E9B25-65AF-42E6-8E5F-C7C9D513B3E4}"/>
  <tableColumns count="10">
    <tableColumn id="1" xr3:uid="{9E309ED1-F518-4EA1-A85E-C26EE3F65161}" name="employee_id" dataDxfId="38"/>
    <tableColumn id="2" xr3:uid="{0F9491B2-5B30-4E7F-8BE7-EA216B1F54F0}" name="first_name" dataDxfId="37"/>
    <tableColumn id="3" xr3:uid="{D53D1B7B-55F0-4534-A9B5-AD7D3BFAB55D}" name="last_name" dataDxfId="36"/>
    <tableColumn id="4" xr3:uid="{AA77886D-5390-4783-B892-466A3432DA41}" name="email" dataDxfId="35"/>
    <tableColumn id="5" xr3:uid="{A0C4626C-46BB-4466-9C1F-3F3079CF0323}" name="phone_number" dataDxfId="34"/>
    <tableColumn id="6" xr3:uid="{78CC14DE-AAEB-4F79-B93C-A7044C793EA6}" name="hire_date" dataDxfId="33"/>
    <tableColumn id="7" xr3:uid="{6D6F0B30-C8F9-4103-91FC-E1A53F863270}" name="job_id" dataDxfId="32"/>
    <tableColumn id="8" xr3:uid="{3C3481BB-B5CF-4B93-95FF-A779A2C00E52}" name="salary" dataDxfId="31"/>
    <tableColumn id="9" xr3:uid="{88C2C62B-390F-4838-B2D2-84D4E4800268}" name="manager_id" dataDxfId="30"/>
    <tableColumn id="10" xr3:uid="{43295F00-01E0-4BB4-9F1F-CF5DEE7A088B}" name="department_id" dataDxfId="2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2D7FFC-C680-4E13-8328-E9D813139152}" name="Table_departments" displayName="Table_departments" ref="P10:R21" tableType="queryTable" totalsRowShown="0">
  <autoFilter ref="P10:R21" xr:uid="{122D7FFC-C680-4E13-8328-E9D813139152}"/>
  <tableColumns count="3">
    <tableColumn id="1" xr3:uid="{F60D1896-83CA-4CE2-8364-AB2134047772}" uniqueName="1" name="department_id" queryTableFieldId="1"/>
    <tableColumn id="2" xr3:uid="{9DA16656-271C-404E-A12B-2F57D7581012}" uniqueName="2" name="department_name" queryTableFieldId="2"/>
    <tableColumn id="3" xr3:uid="{C2B5DB21-52D8-4B99-B362-076046CD735D}" uniqueName="3" name="location_id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1568D-8D84-418F-B66F-8CEEEF4B78A3}" name="Table4" displayName="Table4" ref="A7:J47" totalsRowShown="0" headerRowDxfId="28" dataDxfId="27">
  <autoFilter ref="A7:J47" xr:uid="{77D1568D-8D84-418F-B66F-8CEEEF4B78A3}">
    <filterColumn colId="9">
      <filters>
        <filter val="8"/>
      </filters>
    </filterColumn>
  </autoFilter>
  <tableColumns count="10">
    <tableColumn id="1" xr3:uid="{191EC903-1DEA-42A9-8BE2-E0ECC7AF1258}" name="employee_id" dataDxfId="26"/>
    <tableColumn id="2" xr3:uid="{5E0389B6-0325-42AE-B116-AAD3661761BE}" name="first_name" dataDxfId="25"/>
    <tableColumn id="3" xr3:uid="{5B380DDF-E014-4259-9D7D-752D10C7C21F}" name="last_name" dataDxfId="24"/>
    <tableColumn id="4" xr3:uid="{24047926-4651-4264-A0A6-D984830E2DDD}" name="email" dataDxfId="23"/>
    <tableColumn id="5" xr3:uid="{3317C3DE-4CDC-48FA-90D1-19CFA15A7C2A}" name="phone_number" dataDxfId="22"/>
    <tableColumn id="6" xr3:uid="{AC4E5C02-F065-4451-AE4E-8E9EEA61937B}" name="hire_date" dataDxfId="21"/>
    <tableColumn id="7" xr3:uid="{A0C25AF0-5F40-448F-9531-C760CD22DCB6}" name="job_id" dataDxfId="20"/>
    <tableColumn id="8" xr3:uid="{D152E3EB-A99B-4F08-90BB-662D6420B129}" name="salary" dataDxfId="19"/>
    <tableColumn id="9" xr3:uid="{3135B82F-BFA9-4230-A018-D03A92C7EADD}" name="manager_id" dataDxfId="18"/>
    <tableColumn id="10" xr3:uid="{F9DB082D-546A-4B2E-B89A-8F54FE06D780}" name="department_id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new.user@sqltutorial.or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7:Z1006"/>
  <sheetViews>
    <sheetView workbookViewId="0">
      <selection sqref="A1:XFD1"/>
    </sheetView>
  </sheetViews>
  <sheetFormatPr defaultColWidth="12.6640625" defaultRowHeight="15" customHeight="1" x14ac:dyDescent="0.3"/>
  <cols>
    <col min="1" max="3" width="8.6640625" customWidth="1"/>
    <col min="4" max="4" width="27.77734375" customWidth="1"/>
    <col min="5" max="5" width="8.6640625" customWidth="1"/>
    <col min="6" max="6" width="21.77734375" customWidth="1"/>
    <col min="7" max="26" width="8.6640625" customWidth="1"/>
  </cols>
  <sheetData>
    <row r="7" spans="1:26" ht="14.25" customHeight="1" x14ac:dyDescent="0.3">
      <c r="A7" s="1" t="s">
        <v>0</v>
      </c>
      <c r="B7" s="1" t="s">
        <v>1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6</v>
      </c>
      <c r="H7" s="1" t="s">
        <v>7</v>
      </c>
      <c r="I7" s="1" t="s">
        <v>8</v>
      </c>
      <c r="J7" s="1" t="s">
        <v>9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2">
        <v>100</v>
      </c>
      <c r="B8" s="2" t="s">
        <v>10</v>
      </c>
      <c r="C8" s="2" t="s">
        <v>11</v>
      </c>
      <c r="D8" s="2" t="s">
        <v>12</v>
      </c>
      <c r="E8" s="2" t="s">
        <v>13</v>
      </c>
      <c r="F8" s="3">
        <v>31945</v>
      </c>
      <c r="G8" s="2">
        <v>4</v>
      </c>
      <c r="H8" s="2">
        <v>24000</v>
      </c>
      <c r="J8" s="2">
        <v>9</v>
      </c>
    </row>
    <row r="9" spans="1:26" ht="14.25" customHeight="1" x14ac:dyDescent="0.3">
      <c r="A9" s="2">
        <v>101</v>
      </c>
      <c r="B9" s="2" t="s">
        <v>14</v>
      </c>
      <c r="C9" s="2" t="s">
        <v>15</v>
      </c>
      <c r="D9" s="2" t="s">
        <v>16</v>
      </c>
      <c r="E9" s="2" t="s">
        <v>17</v>
      </c>
      <c r="F9" s="3">
        <v>32772</v>
      </c>
      <c r="G9" s="2">
        <v>5</v>
      </c>
      <c r="H9" s="2">
        <v>17000</v>
      </c>
      <c r="I9" s="2">
        <v>100</v>
      </c>
      <c r="J9" s="2">
        <v>9</v>
      </c>
    </row>
    <row r="10" spans="1:26" ht="14.25" customHeight="1" x14ac:dyDescent="0.3">
      <c r="A10" s="2">
        <v>102</v>
      </c>
      <c r="B10" s="2" t="s">
        <v>18</v>
      </c>
      <c r="C10" s="2" t="s">
        <v>19</v>
      </c>
      <c r="D10" s="2" t="s">
        <v>20</v>
      </c>
      <c r="E10" s="2" t="s">
        <v>21</v>
      </c>
      <c r="F10" s="3">
        <v>33982</v>
      </c>
      <c r="G10" s="2">
        <v>5</v>
      </c>
      <c r="H10" s="2">
        <v>17000</v>
      </c>
      <c r="I10" s="2">
        <v>100</v>
      </c>
      <c r="J10" s="2">
        <v>9</v>
      </c>
    </row>
    <row r="11" spans="1:26" ht="14.25" customHeight="1" x14ac:dyDescent="0.3">
      <c r="A11" s="2">
        <v>103</v>
      </c>
      <c r="B11" s="2" t="s">
        <v>22</v>
      </c>
      <c r="C11" s="2" t="s">
        <v>23</v>
      </c>
      <c r="D11" s="2" t="s">
        <v>24</v>
      </c>
      <c r="E11" s="2" t="s">
        <v>25</v>
      </c>
      <c r="F11" s="3">
        <v>32876</v>
      </c>
      <c r="G11" s="2">
        <v>9</v>
      </c>
      <c r="H11" s="2">
        <v>9000</v>
      </c>
      <c r="I11" s="2">
        <v>102</v>
      </c>
      <c r="J11" s="2">
        <v>6</v>
      </c>
    </row>
    <row r="12" spans="1:26" ht="14.25" customHeight="1" x14ac:dyDescent="0.3">
      <c r="A12" s="2">
        <v>104</v>
      </c>
      <c r="B12" s="2" t="s">
        <v>26</v>
      </c>
      <c r="C12" s="2" t="s">
        <v>27</v>
      </c>
      <c r="D12" s="2" t="s">
        <v>28</v>
      </c>
      <c r="E12" s="2" t="s">
        <v>29</v>
      </c>
      <c r="F12" s="3">
        <v>33379</v>
      </c>
      <c r="G12" s="2">
        <v>9</v>
      </c>
      <c r="H12" s="2">
        <v>6000</v>
      </c>
      <c r="I12" s="2">
        <v>103</v>
      </c>
      <c r="J12" s="2">
        <v>6</v>
      </c>
    </row>
    <row r="13" spans="1:26" ht="14.25" customHeight="1" x14ac:dyDescent="0.3">
      <c r="A13" s="2">
        <v>105</v>
      </c>
      <c r="B13" s="2" t="s">
        <v>30</v>
      </c>
      <c r="C13" s="2" t="s">
        <v>31</v>
      </c>
      <c r="D13" s="2" t="s">
        <v>32</v>
      </c>
      <c r="E13" s="2" t="s">
        <v>33</v>
      </c>
      <c r="F13" s="3">
        <v>35606</v>
      </c>
      <c r="G13" s="2">
        <v>9</v>
      </c>
      <c r="H13" s="2">
        <v>4800</v>
      </c>
      <c r="I13" s="2">
        <v>103</v>
      </c>
      <c r="J13" s="2">
        <v>6</v>
      </c>
    </row>
    <row r="14" spans="1:26" ht="14.25" customHeight="1" x14ac:dyDescent="0.3">
      <c r="A14" s="2">
        <v>106</v>
      </c>
      <c r="B14" s="2" t="s">
        <v>34</v>
      </c>
      <c r="C14" s="2" t="s">
        <v>35</v>
      </c>
      <c r="D14" s="2" t="s">
        <v>36</v>
      </c>
      <c r="E14" s="2" t="s">
        <v>37</v>
      </c>
      <c r="F14" s="3">
        <v>35831</v>
      </c>
      <c r="G14" s="2">
        <v>9</v>
      </c>
      <c r="H14" s="2">
        <v>4800</v>
      </c>
      <c r="I14" s="2">
        <v>103</v>
      </c>
      <c r="J14" s="2">
        <v>6</v>
      </c>
    </row>
    <row r="15" spans="1:26" ht="14.25" customHeight="1" x14ac:dyDescent="0.3">
      <c r="A15" s="2">
        <v>107</v>
      </c>
      <c r="B15" s="2" t="s">
        <v>38</v>
      </c>
      <c r="C15" s="2" t="s">
        <v>39</v>
      </c>
      <c r="D15" s="2" t="s">
        <v>40</v>
      </c>
      <c r="E15" s="2" t="s">
        <v>41</v>
      </c>
      <c r="F15" s="3">
        <v>36198</v>
      </c>
      <c r="G15" s="2">
        <v>9</v>
      </c>
      <c r="H15" s="2">
        <v>4200</v>
      </c>
      <c r="I15" s="2">
        <v>103</v>
      </c>
      <c r="J15" s="2">
        <v>6</v>
      </c>
    </row>
    <row r="16" spans="1:26" ht="14.25" customHeight="1" x14ac:dyDescent="0.3">
      <c r="A16" s="2">
        <v>108</v>
      </c>
      <c r="B16" s="2" t="s">
        <v>42</v>
      </c>
      <c r="C16" s="2" t="s">
        <v>43</v>
      </c>
      <c r="D16" s="2" t="s">
        <v>44</v>
      </c>
      <c r="E16" s="2" t="s">
        <v>45</v>
      </c>
      <c r="F16" s="3">
        <v>34563</v>
      </c>
      <c r="G16" s="2">
        <v>7</v>
      </c>
      <c r="H16" s="2">
        <v>12000</v>
      </c>
      <c r="I16" s="2">
        <v>101</v>
      </c>
      <c r="J16" s="2">
        <v>10</v>
      </c>
    </row>
    <row r="17" spans="1:10" ht="14.25" customHeight="1" x14ac:dyDescent="0.3">
      <c r="A17" s="2">
        <v>109</v>
      </c>
      <c r="B17" s="2" t="s">
        <v>46</v>
      </c>
      <c r="C17" s="2" t="s">
        <v>47</v>
      </c>
      <c r="D17" s="2" t="s">
        <v>48</v>
      </c>
      <c r="E17" s="2" t="s">
        <v>49</v>
      </c>
      <c r="F17" s="3">
        <v>34562</v>
      </c>
      <c r="G17" s="2">
        <v>6</v>
      </c>
      <c r="H17" s="2">
        <v>9000</v>
      </c>
      <c r="I17" s="2">
        <v>108</v>
      </c>
      <c r="J17" s="2">
        <v>10</v>
      </c>
    </row>
    <row r="18" spans="1:10" ht="14.25" customHeight="1" x14ac:dyDescent="0.3">
      <c r="A18" s="2">
        <v>110</v>
      </c>
      <c r="B18" s="2" t="s">
        <v>50</v>
      </c>
      <c r="C18" s="2" t="s">
        <v>51</v>
      </c>
      <c r="D18" s="2" t="s">
        <v>52</v>
      </c>
      <c r="E18" s="2" t="s">
        <v>53</v>
      </c>
      <c r="F18" s="3">
        <v>35701</v>
      </c>
      <c r="G18" s="2">
        <v>6</v>
      </c>
      <c r="H18" s="2">
        <v>8200</v>
      </c>
      <c r="I18" s="2">
        <v>108</v>
      </c>
      <c r="J18" s="2">
        <v>10</v>
      </c>
    </row>
    <row r="19" spans="1:10" ht="14.25" customHeight="1" x14ac:dyDescent="0.3">
      <c r="A19" s="2">
        <v>111</v>
      </c>
      <c r="B19" s="2" t="s">
        <v>54</v>
      </c>
      <c r="C19" s="2" t="s">
        <v>55</v>
      </c>
      <c r="D19" s="2" t="s">
        <v>56</v>
      </c>
      <c r="E19" s="2" t="s">
        <v>57</v>
      </c>
      <c r="F19" s="3">
        <v>35703</v>
      </c>
      <c r="G19" s="2">
        <v>6</v>
      </c>
      <c r="H19" s="2">
        <v>7700</v>
      </c>
      <c r="I19" s="2">
        <v>108</v>
      </c>
      <c r="J19" s="2">
        <v>10</v>
      </c>
    </row>
    <row r="20" spans="1:10" ht="14.25" customHeight="1" x14ac:dyDescent="0.3">
      <c r="A20" s="2">
        <v>112</v>
      </c>
      <c r="B20" s="2" t="s">
        <v>58</v>
      </c>
      <c r="C20" s="2" t="s">
        <v>59</v>
      </c>
      <c r="D20" s="2" t="s">
        <v>60</v>
      </c>
      <c r="E20" s="2" t="s">
        <v>61</v>
      </c>
      <c r="F20" s="3">
        <v>35861</v>
      </c>
      <c r="G20" s="2">
        <v>6</v>
      </c>
      <c r="H20" s="2">
        <v>7800</v>
      </c>
      <c r="I20" s="2">
        <v>108</v>
      </c>
      <c r="J20" s="2">
        <v>10</v>
      </c>
    </row>
    <row r="21" spans="1:10" ht="14.25" customHeight="1" x14ac:dyDescent="0.3">
      <c r="A21" s="2">
        <v>113</v>
      </c>
      <c r="B21" s="2" t="s">
        <v>62</v>
      </c>
      <c r="C21" s="2" t="s">
        <v>63</v>
      </c>
      <c r="D21" s="2" t="s">
        <v>64</v>
      </c>
      <c r="E21" s="2" t="s">
        <v>65</v>
      </c>
      <c r="F21" s="3">
        <v>36501</v>
      </c>
      <c r="G21" s="2">
        <v>6</v>
      </c>
      <c r="H21" s="2">
        <v>6900</v>
      </c>
      <c r="I21" s="2">
        <v>108</v>
      </c>
      <c r="J21" s="2">
        <v>10</v>
      </c>
    </row>
    <row r="22" spans="1:10" ht="14.25" customHeight="1" x14ac:dyDescent="0.3">
      <c r="A22" s="2">
        <v>114</v>
      </c>
      <c r="B22" s="2" t="s">
        <v>66</v>
      </c>
      <c r="C22" s="2" t="s">
        <v>67</v>
      </c>
      <c r="D22" s="2" t="s">
        <v>68</v>
      </c>
      <c r="E22" s="2" t="s">
        <v>69</v>
      </c>
      <c r="F22" s="3">
        <v>34675</v>
      </c>
      <c r="G22" s="2">
        <v>14</v>
      </c>
      <c r="H22" s="2">
        <v>11000</v>
      </c>
      <c r="I22" s="2">
        <v>100</v>
      </c>
      <c r="J22" s="2">
        <v>3</v>
      </c>
    </row>
    <row r="23" spans="1:10" ht="14.25" customHeight="1" x14ac:dyDescent="0.3">
      <c r="A23" s="2">
        <v>115</v>
      </c>
      <c r="B23" s="2" t="s">
        <v>22</v>
      </c>
      <c r="C23" s="2" t="s">
        <v>70</v>
      </c>
      <c r="D23" s="2" t="s">
        <v>71</v>
      </c>
      <c r="E23" s="2" t="s">
        <v>72</v>
      </c>
      <c r="F23" s="3">
        <v>34837</v>
      </c>
      <c r="G23" s="2">
        <v>13</v>
      </c>
      <c r="H23" s="2">
        <v>3100</v>
      </c>
      <c r="I23" s="2">
        <v>114</v>
      </c>
      <c r="J23" s="2">
        <v>3</v>
      </c>
    </row>
    <row r="24" spans="1:10" ht="14.25" customHeight="1" x14ac:dyDescent="0.3">
      <c r="A24" s="2">
        <v>116</v>
      </c>
      <c r="B24" s="2" t="s">
        <v>73</v>
      </c>
      <c r="C24" s="2" t="s">
        <v>74</v>
      </c>
      <c r="D24" s="2" t="s">
        <v>75</v>
      </c>
      <c r="E24" s="2" t="s">
        <v>76</v>
      </c>
      <c r="F24" s="3">
        <v>35788</v>
      </c>
      <c r="G24" s="2">
        <v>13</v>
      </c>
      <c r="H24" s="2">
        <v>2900</v>
      </c>
      <c r="I24" s="2">
        <v>114</v>
      </c>
      <c r="J24" s="2">
        <v>3</v>
      </c>
    </row>
    <row r="25" spans="1:10" ht="14.25" customHeight="1" x14ac:dyDescent="0.3">
      <c r="A25" s="2">
        <v>117</v>
      </c>
      <c r="B25" s="2" t="s">
        <v>77</v>
      </c>
      <c r="C25" s="2" t="s">
        <v>78</v>
      </c>
      <c r="D25" s="2" t="s">
        <v>79</v>
      </c>
      <c r="E25" s="2" t="s">
        <v>80</v>
      </c>
      <c r="F25" s="3">
        <v>35635</v>
      </c>
      <c r="G25" s="2">
        <v>13</v>
      </c>
      <c r="H25" s="2">
        <v>2800</v>
      </c>
      <c r="I25" s="2">
        <v>114</v>
      </c>
      <c r="J25" s="2">
        <v>3</v>
      </c>
    </row>
    <row r="26" spans="1:10" ht="14.25" customHeight="1" x14ac:dyDescent="0.3">
      <c r="A26" s="2">
        <v>118</v>
      </c>
      <c r="B26" s="2" t="s">
        <v>81</v>
      </c>
      <c r="C26" s="2" t="s">
        <v>82</v>
      </c>
      <c r="D26" s="2" t="s">
        <v>83</v>
      </c>
      <c r="E26" s="2" t="s">
        <v>84</v>
      </c>
      <c r="F26" s="3">
        <v>36114</v>
      </c>
      <c r="G26" s="2">
        <v>13</v>
      </c>
      <c r="H26" s="2">
        <v>2600</v>
      </c>
      <c r="I26" s="2">
        <v>114</v>
      </c>
      <c r="J26" s="2">
        <v>3</v>
      </c>
    </row>
    <row r="27" spans="1:10" ht="14.25" customHeight="1" x14ac:dyDescent="0.3">
      <c r="A27" s="2">
        <v>119</v>
      </c>
      <c r="B27" s="2" t="s">
        <v>85</v>
      </c>
      <c r="C27" s="2" t="s">
        <v>86</v>
      </c>
      <c r="D27" s="2" t="s">
        <v>87</v>
      </c>
      <c r="E27" s="2" t="s">
        <v>88</v>
      </c>
      <c r="F27" s="3">
        <v>36382</v>
      </c>
      <c r="G27" s="2">
        <v>13</v>
      </c>
      <c r="H27" s="2">
        <v>2500</v>
      </c>
      <c r="I27" s="2">
        <v>114</v>
      </c>
      <c r="J27" s="2">
        <v>3</v>
      </c>
    </row>
    <row r="28" spans="1:10" ht="14.25" customHeight="1" x14ac:dyDescent="0.3">
      <c r="A28" s="2">
        <v>120</v>
      </c>
      <c r="B28" s="2" t="s">
        <v>89</v>
      </c>
      <c r="C28" s="2" t="s">
        <v>90</v>
      </c>
      <c r="D28" s="2" t="s">
        <v>91</v>
      </c>
      <c r="E28" s="2" t="s">
        <v>92</v>
      </c>
      <c r="F28" s="3">
        <v>35264</v>
      </c>
      <c r="G28" s="2">
        <v>19</v>
      </c>
      <c r="H28" s="2">
        <v>8000</v>
      </c>
      <c r="I28" s="2">
        <v>100</v>
      </c>
      <c r="J28" s="2">
        <v>5</v>
      </c>
    </row>
    <row r="29" spans="1:10" ht="14.25" customHeight="1" x14ac:dyDescent="0.3">
      <c r="A29" s="2">
        <v>121</v>
      </c>
      <c r="B29" s="2" t="s">
        <v>93</v>
      </c>
      <c r="C29" s="2" t="s">
        <v>94</v>
      </c>
      <c r="D29" s="2" t="s">
        <v>95</v>
      </c>
      <c r="E29" s="2" t="s">
        <v>96</v>
      </c>
      <c r="F29" s="3">
        <v>35530</v>
      </c>
      <c r="G29" s="2">
        <v>19</v>
      </c>
      <c r="H29" s="2">
        <v>8200</v>
      </c>
      <c r="I29" s="2">
        <v>100</v>
      </c>
      <c r="J29" s="2">
        <v>5</v>
      </c>
    </row>
    <row r="30" spans="1:10" ht="14.25" customHeight="1" x14ac:dyDescent="0.3">
      <c r="A30" s="2">
        <v>122</v>
      </c>
      <c r="B30" s="2" t="s">
        <v>97</v>
      </c>
      <c r="C30" s="2" t="s">
        <v>98</v>
      </c>
      <c r="D30" s="2" t="s">
        <v>99</v>
      </c>
      <c r="E30" s="2" t="s">
        <v>100</v>
      </c>
      <c r="F30" s="3">
        <v>34820</v>
      </c>
      <c r="G30" s="2">
        <v>19</v>
      </c>
      <c r="H30" s="2">
        <v>7900</v>
      </c>
      <c r="I30" s="2">
        <v>100</v>
      </c>
      <c r="J30" s="2">
        <v>5</v>
      </c>
    </row>
    <row r="31" spans="1:10" ht="14.25" customHeight="1" x14ac:dyDescent="0.3">
      <c r="A31" s="2">
        <v>123</v>
      </c>
      <c r="B31" s="2" t="s">
        <v>101</v>
      </c>
      <c r="C31" s="2" t="s">
        <v>102</v>
      </c>
      <c r="D31" s="2" t="s">
        <v>103</v>
      </c>
      <c r="E31" s="2" t="s">
        <v>104</v>
      </c>
      <c r="F31" s="3">
        <v>35713</v>
      </c>
      <c r="G31" s="2">
        <v>19</v>
      </c>
      <c r="H31" s="2">
        <v>6500</v>
      </c>
      <c r="I31" s="2">
        <v>100</v>
      </c>
      <c r="J31" s="2">
        <v>5</v>
      </c>
    </row>
    <row r="32" spans="1:10" ht="14.25" customHeight="1" x14ac:dyDescent="0.3">
      <c r="A32" s="2">
        <v>126</v>
      </c>
      <c r="B32" s="2" t="s">
        <v>105</v>
      </c>
      <c r="C32" s="2" t="s">
        <v>106</v>
      </c>
      <c r="D32" s="2" t="s">
        <v>107</v>
      </c>
      <c r="E32" s="2" t="s">
        <v>108</v>
      </c>
      <c r="F32" s="3">
        <v>36066</v>
      </c>
      <c r="G32" s="2">
        <v>18</v>
      </c>
      <c r="H32" s="2">
        <v>2700</v>
      </c>
      <c r="I32" s="2">
        <v>120</v>
      </c>
      <c r="J32" s="2">
        <v>5</v>
      </c>
    </row>
    <row r="33" spans="1:10" ht="14.25" customHeight="1" x14ac:dyDescent="0.3">
      <c r="A33" s="2">
        <v>145</v>
      </c>
      <c r="B33" s="2" t="s">
        <v>50</v>
      </c>
      <c r="C33" s="2" t="s">
        <v>109</v>
      </c>
      <c r="D33" s="2" t="s">
        <v>110</v>
      </c>
      <c r="F33" s="3">
        <v>35339</v>
      </c>
      <c r="G33" s="2">
        <v>15</v>
      </c>
      <c r="H33" s="2">
        <v>14000</v>
      </c>
      <c r="I33" s="2">
        <v>100</v>
      </c>
      <c r="J33" s="2">
        <v>8</v>
      </c>
    </row>
    <row r="34" spans="1:10" ht="14.25" customHeight="1" x14ac:dyDescent="0.3">
      <c r="A34" s="2">
        <v>146</v>
      </c>
      <c r="B34" s="2" t="s">
        <v>85</v>
      </c>
      <c r="C34" s="2" t="s">
        <v>111</v>
      </c>
      <c r="D34" s="2" t="s">
        <v>112</v>
      </c>
      <c r="F34" s="3">
        <v>35435</v>
      </c>
      <c r="G34" s="2">
        <v>15</v>
      </c>
      <c r="H34" s="2">
        <v>13500</v>
      </c>
      <c r="I34" s="2">
        <v>100</v>
      </c>
      <c r="J34" s="2">
        <v>8</v>
      </c>
    </row>
    <row r="35" spans="1:10" ht="14.25" customHeight="1" x14ac:dyDescent="0.3">
      <c r="A35" s="2">
        <v>176</v>
      </c>
      <c r="B35" s="2" t="s">
        <v>113</v>
      </c>
      <c r="C35" s="2" t="s">
        <v>114</v>
      </c>
      <c r="D35" s="2" t="s">
        <v>115</v>
      </c>
      <c r="F35" s="3">
        <v>35878</v>
      </c>
      <c r="G35" s="2">
        <v>16</v>
      </c>
      <c r="H35" s="2">
        <v>8600</v>
      </c>
      <c r="I35" s="2">
        <v>100</v>
      </c>
      <c r="J35" s="2">
        <v>8</v>
      </c>
    </row>
    <row r="36" spans="1:10" ht="14.25" customHeight="1" x14ac:dyDescent="0.3">
      <c r="A36" s="2">
        <v>177</v>
      </c>
      <c r="B36" s="2" t="s">
        <v>116</v>
      </c>
      <c r="C36" s="2" t="s">
        <v>117</v>
      </c>
      <c r="D36" s="2" t="s">
        <v>118</v>
      </c>
      <c r="F36" s="3">
        <v>35908</v>
      </c>
      <c r="G36" s="2">
        <v>16</v>
      </c>
      <c r="H36" s="2">
        <v>8400</v>
      </c>
      <c r="I36" s="2">
        <v>100</v>
      </c>
      <c r="J36" s="2">
        <v>8</v>
      </c>
    </row>
    <row r="37" spans="1:10" ht="14.25" customHeight="1" x14ac:dyDescent="0.3">
      <c r="A37" s="2">
        <v>178</v>
      </c>
      <c r="B37" s="2" t="s">
        <v>119</v>
      </c>
      <c r="C37" s="2" t="s">
        <v>120</v>
      </c>
      <c r="D37" s="2" t="s">
        <v>121</v>
      </c>
      <c r="F37" s="3">
        <v>36304</v>
      </c>
      <c r="G37" s="2">
        <v>16</v>
      </c>
      <c r="H37" s="2">
        <v>7000</v>
      </c>
      <c r="I37" s="2">
        <v>100</v>
      </c>
      <c r="J37" s="2">
        <v>8</v>
      </c>
    </row>
    <row r="38" spans="1:10" ht="14.25" customHeight="1" x14ac:dyDescent="0.3">
      <c r="A38" s="2">
        <v>179</v>
      </c>
      <c r="B38" s="2" t="s">
        <v>122</v>
      </c>
      <c r="C38" s="2" t="s">
        <v>123</v>
      </c>
      <c r="D38" s="2" t="s">
        <v>124</v>
      </c>
      <c r="F38" s="3">
        <v>36529</v>
      </c>
      <c r="G38" s="2">
        <v>16</v>
      </c>
      <c r="H38" s="2">
        <v>6200</v>
      </c>
      <c r="I38" s="2">
        <v>100</v>
      </c>
      <c r="J38" s="2">
        <v>8</v>
      </c>
    </row>
    <row r="39" spans="1:10" ht="14.25" customHeight="1" x14ac:dyDescent="0.3">
      <c r="A39" s="2">
        <v>192</v>
      </c>
      <c r="B39" s="2" t="s">
        <v>125</v>
      </c>
      <c r="C39" s="2" t="s">
        <v>126</v>
      </c>
      <c r="D39" s="2" t="s">
        <v>127</v>
      </c>
      <c r="E39" s="2" t="s">
        <v>128</v>
      </c>
      <c r="F39" s="3">
        <v>35099</v>
      </c>
      <c r="G39" s="2">
        <v>17</v>
      </c>
      <c r="H39" s="2">
        <v>4000</v>
      </c>
      <c r="I39" s="2">
        <v>123</v>
      </c>
      <c r="J39" s="2">
        <v>5</v>
      </c>
    </row>
    <row r="40" spans="1:10" ht="14.25" customHeight="1" x14ac:dyDescent="0.3">
      <c r="A40" s="2">
        <v>193</v>
      </c>
      <c r="B40" s="2" t="s">
        <v>129</v>
      </c>
      <c r="C40" s="2" t="s">
        <v>130</v>
      </c>
      <c r="D40" s="2" t="s">
        <v>131</v>
      </c>
      <c r="E40" s="2" t="s">
        <v>132</v>
      </c>
      <c r="F40" s="3">
        <v>35492</v>
      </c>
      <c r="G40" s="2">
        <v>17</v>
      </c>
      <c r="H40" s="2">
        <v>3900</v>
      </c>
      <c r="I40" s="2">
        <v>123</v>
      </c>
      <c r="J40" s="2">
        <v>5</v>
      </c>
    </row>
    <row r="41" spans="1:10" ht="14.25" customHeight="1" x14ac:dyDescent="0.3">
      <c r="A41" s="2">
        <v>200</v>
      </c>
      <c r="B41" s="2" t="s">
        <v>133</v>
      </c>
      <c r="C41" s="2" t="s">
        <v>134</v>
      </c>
      <c r="D41" s="2" t="s">
        <v>135</v>
      </c>
      <c r="E41" s="2" t="s">
        <v>136</v>
      </c>
      <c r="F41" s="3">
        <v>32037</v>
      </c>
      <c r="G41" s="2">
        <v>3</v>
      </c>
      <c r="H41" s="2">
        <v>4400</v>
      </c>
      <c r="I41" s="2">
        <v>101</v>
      </c>
      <c r="J41" s="2">
        <v>1</v>
      </c>
    </row>
    <row r="42" spans="1:10" ht="14.25" customHeight="1" x14ac:dyDescent="0.3">
      <c r="A42" s="2">
        <v>201</v>
      </c>
      <c r="B42" s="2" t="s">
        <v>137</v>
      </c>
      <c r="C42" s="2" t="s">
        <v>138</v>
      </c>
      <c r="D42" s="2" t="s">
        <v>139</v>
      </c>
      <c r="E42" s="2" t="s">
        <v>140</v>
      </c>
      <c r="F42" s="3">
        <v>35112</v>
      </c>
      <c r="G42" s="2">
        <v>10</v>
      </c>
      <c r="H42" s="2">
        <v>13000</v>
      </c>
      <c r="I42" s="2">
        <v>100</v>
      </c>
      <c r="J42" s="2">
        <v>2</v>
      </c>
    </row>
    <row r="43" spans="1:10" ht="14.25" customHeight="1" x14ac:dyDescent="0.3">
      <c r="A43" s="2">
        <v>202</v>
      </c>
      <c r="B43" s="2" t="s">
        <v>141</v>
      </c>
      <c r="C43" s="2" t="s">
        <v>142</v>
      </c>
      <c r="D43" s="2" t="s">
        <v>143</v>
      </c>
      <c r="E43" s="2" t="s">
        <v>144</v>
      </c>
      <c r="F43" s="3">
        <v>35659</v>
      </c>
      <c r="G43" s="2">
        <v>11</v>
      </c>
      <c r="H43" s="2">
        <v>6000</v>
      </c>
      <c r="I43" s="2">
        <v>201</v>
      </c>
      <c r="J43" s="2">
        <v>2</v>
      </c>
    </row>
    <row r="44" spans="1:10" ht="14.25" customHeight="1" x14ac:dyDescent="0.3">
      <c r="A44" s="2">
        <v>203</v>
      </c>
      <c r="B44" s="2" t="s">
        <v>145</v>
      </c>
      <c r="C44" s="2" t="s">
        <v>146</v>
      </c>
      <c r="D44" s="2" t="s">
        <v>147</v>
      </c>
      <c r="E44" s="2" t="s">
        <v>148</v>
      </c>
      <c r="F44" s="3">
        <v>34492</v>
      </c>
      <c r="G44" s="2">
        <v>8</v>
      </c>
      <c r="H44" s="2">
        <v>6500</v>
      </c>
      <c r="I44" s="2">
        <v>101</v>
      </c>
      <c r="J44" s="2">
        <v>4</v>
      </c>
    </row>
    <row r="45" spans="1:10" ht="14.25" customHeight="1" x14ac:dyDescent="0.3">
      <c r="A45" s="2">
        <v>204</v>
      </c>
      <c r="B45" s="2" t="s">
        <v>149</v>
      </c>
      <c r="C45" s="2" t="s">
        <v>150</v>
      </c>
      <c r="D45" s="2" t="s">
        <v>151</v>
      </c>
      <c r="E45" s="2" t="s">
        <v>152</v>
      </c>
      <c r="F45" s="3">
        <v>34492</v>
      </c>
      <c r="G45" s="2">
        <v>12</v>
      </c>
      <c r="H45" s="2">
        <v>10000</v>
      </c>
      <c r="I45" s="2">
        <v>101</v>
      </c>
      <c r="J45" s="2">
        <v>7</v>
      </c>
    </row>
    <row r="46" spans="1:10" ht="14.25" customHeight="1" x14ac:dyDescent="0.3">
      <c r="A46" s="2">
        <v>205</v>
      </c>
      <c r="B46" s="2" t="s">
        <v>153</v>
      </c>
      <c r="C46" s="2" t="s">
        <v>154</v>
      </c>
      <c r="D46" s="2" t="s">
        <v>155</v>
      </c>
      <c r="E46" s="2" t="s">
        <v>156</v>
      </c>
      <c r="F46" s="3">
        <v>34492</v>
      </c>
      <c r="G46" s="2">
        <v>2</v>
      </c>
      <c r="H46" s="2">
        <v>12000</v>
      </c>
      <c r="I46" s="2">
        <v>101</v>
      </c>
      <c r="J46" s="2">
        <v>11</v>
      </c>
    </row>
    <row r="47" spans="1:10" ht="14.25" customHeight="1" x14ac:dyDescent="0.3">
      <c r="A47" s="2">
        <v>206</v>
      </c>
      <c r="B47" s="2" t="s">
        <v>157</v>
      </c>
      <c r="C47" s="2" t="s">
        <v>158</v>
      </c>
      <c r="D47" s="2" t="s">
        <v>159</v>
      </c>
      <c r="E47" s="2" t="s">
        <v>160</v>
      </c>
      <c r="F47" s="3">
        <v>34492</v>
      </c>
      <c r="G47" s="2">
        <v>1</v>
      </c>
      <c r="H47" s="2">
        <v>8300</v>
      </c>
      <c r="I47" s="2">
        <v>205</v>
      </c>
      <c r="J47" s="2">
        <v>11</v>
      </c>
    </row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BBA09-3162-4662-AB04-2AC04A85D492}">
  <sheetPr codeName="Sheet4"/>
  <dimension ref="A2:Z1006"/>
  <sheetViews>
    <sheetView workbookViewId="0">
      <selection activeCell="C5" sqref="C5"/>
    </sheetView>
  </sheetViews>
  <sheetFormatPr defaultColWidth="12.6640625" defaultRowHeight="15" customHeight="1" x14ac:dyDescent="0.3"/>
  <cols>
    <col min="1" max="1" width="11.6640625" bestFit="1" customWidth="1"/>
    <col min="2" max="3" width="10.77734375" bestFit="1" customWidth="1"/>
    <col min="4" max="4" width="27.77734375" customWidth="1"/>
    <col min="5" max="5" width="13.44140625" bestFit="1" customWidth="1"/>
    <col min="6" max="6" width="10.33203125" bestFit="1" customWidth="1"/>
    <col min="7" max="7" width="8.6640625" customWidth="1"/>
    <col min="8" max="8" width="6" bestFit="1" customWidth="1"/>
    <col min="9" max="9" width="10.6640625" bestFit="1" customWidth="1"/>
    <col min="10" max="10" width="13.44140625" bestFit="1" customWidth="1"/>
    <col min="11" max="26" width="8.6640625" customWidth="1"/>
  </cols>
  <sheetData>
    <row r="2" spans="1:26" ht="15" customHeight="1" x14ac:dyDescent="0.35">
      <c r="D2" s="5" t="s">
        <v>161</v>
      </c>
    </row>
    <row r="4" spans="1:26" ht="15" customHeight="1" x14ac:dyDescent="0.3">
      <c r="D4" s="11" t="s">
        <v>162</v>
      </c>
    </row>
    <row r="7" spans="1:26" ht="14.25" customHeight="1" x14ac:dyDescent="0.3">
      <c r="A7" s="6" t="s">
        <v>0</v>
      </c>
      <c r="B7" s="6" t="s">
        <v>1</v>
      </c>
      <c r="C7" s="6" t="s">
        <v>2</v>
      </c>
      <c r="D7" s="6" t="s">
        <v>3</v>
      </c>
      <c r="E7" s="6" t="s">
        <v>4</v>
      </c>
      <c r="F7" s="6" t="s">
        <v>5</v>
      </c>
      <c r="G7" s="6" t="s">
        <v>6</v>
      </c>
      <c r="H7" s="6" t="s">
        <v>7</v>
      </c>
      <c r="I7" s="6" t="s">
        <v>8</v>
      </c>
      <c r="J7" s="6" t="s">
        <v>9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7">
        <v>100</v>
      </c>
      <c r="B8" s="7" t="s">
        <v>10</v>
      </c>
      <c r="C8" s="7" t="s">
        <v>11</v>
      </c>
      <c r="D8" s="7" t="s">
        <v>12</v>
      </c>
      <c r="E8" s="7" t="s">
        <v>13</v>
      </c>
      <c r="F8" s="8">
        <v>31945</v>
      </c>
      <c r="G8" s="7">
        <v>4</v>
      </c>
      <c r="H8" s="7">
        <v>24000</v>
      </c>
      <c r="I8" s="9"/>
      <c r="J8" s="7">
        <v>9</v>
      </c>
    </row>
    <row r="9" spans="1:26" ht="14.25" customHeight="1" x14ac:dyDescent="0.3">
      <c r="A9" s="7">
        <v>101</v>
      </c>
      <c r="B9" s="7" t="s">
        <v>14</v>
      </c>
      <c r="C9" s="7" t="s">
        <v>15</v>
      </c>
      <c r="D9" s="7" t="s">
        <v>16</v>
      </c>
      <c r="E9" s="7" t="s">
        <v>17</v>
      </c>
      <c r="F9" s="8">
        <v>32772</v>
      </c>
      <c r="G9" s="7">
        <v>5</v>
      </c>
      <c r="H9" s="7">
        <v>17000</v>
      </c>
      <c r="I9" s="7">
        <v>100</v>
      </c>
      <c r="J9" s="7">
        <v>9</v>
      </c>
    </row>
    <row r="10" spans="1:26" ht="14.25" customHeight="1" x14ac:dyDescent="0.3">
      <c r="A10" s="7">
        <v>102</v>
      </c>
      <c r="B10" s="7" t="s">
        <v>18</v>
      </c>
      <c r="C10" s="7" t="s">
        <v>19</v>
      </c>
      <c r="D10" s="7" t="s">
        <v>20</v>
      </c>
      <c r="E10" s="7" t="s">
        <v>21</v>
      </c>
      <c r="F10" s="8">
        <v>33982</v>
      </c>
      <c r="G10" s="7">
        <v>5</v>
      </c>
      <c r="H10" s="7">
        <v>17000</v>
      </c>
      <c r="I10" s="7">
        <v>100</v>
      </c>
      <c r="J10" s="7">
        <v>9</v>
      </c>
    </row>
    <row r="11" spans="1:26" ht="14.25" customHeight="1" x14ac:dyDescent="0.3">
      <c r="A11" s="7">
        <v>103</v>
      </c>
      <c r="B11" s="7" t="s">
        <v>22</v>
      </c>
      <c r="C11" s="7" t="s">
        <v>23</v>
      </c>
      <c r="D11" s="7" t="s">
        <v>24</v>
      </c>
      <c r="E11" s="7" t="s">
        <v>25</v>
      </c>
      <c r="F11" s="8">
        <v>32876</v>
      </c>
      <c r="G11" s="7">
        <v>9</v>
      </c>
      <c r="H11" s="7">
        <v>9000</v>
      </c>
      <c r="I11" s="7">
        <v>102</v>
      </c>
      <c r="J11" s="7">
        <v>6</v>
      </c>
    </row>
    <row r="12" spans="1:26" ht="14.25" customHeight="1" x14ac:dyDescent="0.3">
      <c r="A12" s="7">
        <v>104</v>
      </c>
      <c r="B12" s="7" t="s">
        <v>26</v>
      </c>
      <c r="C12" s="7" t="s">
        <v>27</v>
      </c>
      <c r="D12" s="7" t="s">
        <v>28</v>
      </c>
      <c r="E12" s="7" t="s">
        <v>29</v>
      </c>
      <c r="F12" s="8">
        <v>33379</v>
      </c>
      <c r="G12" s="7">
        <v>9</v>
      </c>
      <c r="H12" s="7">
        <v>6000</v>
      </c>
      <c r="I12" s="7">
        <v>103</v>
      </c>
      <c r="J12" s="7">
        <v>6</v>
      </c>
    </row>
    <row r="13" spans="1:26" ht="14.25" customHeight="1" x14ac:dyDescent="0.3">
      <c r="A13" s="7">
        <v>105</v>
      </c>
      <c r="B13" s="7" t="s">
        <v>30</v>
      </c>
      <c r="C13" s="7" t="s">
        <v>31</v>
      </c>
      <c r="D13" s="7" t="s">
        <v>32</v>
      </c>
      <c r="E13" s="7" t="s">
        <v>33</v>
      </c>
      <c r="F13" s="8">
        <v>35606</v>
      </c>
      <c r="G13" s="7">
        <v>9</v>
      </c>
      <c r="H13" s="7">
        <v>4800</v>
      </c>
      <c r="I13" s="7">
        <v>103</v>
      </c>
      <c r="J13" s="7">
        <v>6</v>
      </c>
    </row>
    <row r="14" spans="1:26" ht="14.25" customHeight="1" x14ac:dyDescent="0.3">
      <c r="A14" s="7">
        <v>106</v>
      </c>
      <c r="B14" s="7" t="s">
        <v>34</v>
      </c>
      <c r="C14" s="7" t="s">
        <v>35</v>
      </c>
      <c r="D14" s="7" t="s">
        <v>36</v>
      </c>
      <c r="E14" s="7" t="s">
        <v>37</v>
      </c>
      <c r="F14" s="8">
        <v>35831</v>
      </c>
      <c r="G14" s="7">
        <v>9</v>
      </c>
      <c r="H14" s="7">
        <v>4800</v>
      </c>
      <c r="I14" s="7">
        <v>103</v>
      </c>
      <c r="J14" s="7">
        <v>6</v>
      </c>
    </row>
    <row r="15" spans="1:26" ht="14.25" customHeight="1" x14ac:dyDescent="0.3">
      <c r="A15" s="7">
        <v>107</v>
      </c>
      <c r="B15" s="7" t="s">
        <v>38</v>
      </c>
      <c r="C15" s="7" t="s">
        <v>39</v>
      </c>
      <c r="D15" s="7" t="s">
        <v>40</v>
      </c>
      <c r="E15" s="7" t="s">
        <v>41</v>
      </c>
      <c r="F15" s="8">
        <v>36198</v>
      </c>
      <c r="G15" s="7">
        <v>9</v>
      </c>
      <c r="H15" s="7">
        <v>4200</v>
      </c>
      <c r="I15" s="7">
        <v>103</v>
      </c>
      <c r="J15" s="7">
        <v>6</v>
      </c>
    </row>
    <row r="16" spans="1:26" ht="14.25" customHeight="1" x14ac:dyDescent="0.3">
      <c r="A16" s="7">
        <v>108</v>
      </c>
      <c r="B16" s="7" t="s">
        <v>42</v>
      </c>
      <c r="C16" s="7" t="s">
        <v>43</v>
      </c>
      <c r="D16" s="7" t="s">
        <v>44</v>
      </c>
      <c r="E16" s="7" t="s">
        <v>45</v>
      </c>
      <c r="F16" s="8">
        <v>34563</v>
      </c>
      <c r="G16" s="7">
        <v>7</v>
      </c>
      <c r="H16" s="7">
        <v>12000</v>
      </c>
      <c r="I16" s="7">
        <v>101</v>
      </c>
      <c r="J16" s="7">
        <v>10</v>
      </c>
    </row>
    <row r="17" spans="1:10" ht="14.25" customHeight="1" x14ac:dyDescent="0.3">
      <c r="A17" s="7">
        <v>109</v>
      </c>
      <c r="B17" s="7" t="s">
        <v>46</v>
      </c>
      <c r="C17" s="7" t="s">
        <v>47</v>
      </c>
      <c r="D17" s="7" t="s">
        <v>48</v>
      </c>
      <c r="E17" s="7" t="s">
        <v>49</v>
      </c>
      <c r="F17" s="8">
        <v>34562</v>
      </c>
      <c r="G17" s="7">
        <v>6</v>
      </c>
      <c r="H17" s="7">
        <v>9000</v>
      </c>
      <c r="I17" s="7">
        <v>108</v>
      </c>
      <c r="J17" s="7">
        <v>10</v>
      </c>
    </row>
    <row r="18" spans="1:10" ht="14.25" customHeight="1" x14ac:dyDescent="0.3">
      <c r="A18" s="7">
        <v>110</v>
      </c>
      <c r="B18" s="7" t="s">
        <v>50</v>
      </c>
      <c r="C18" s="7" t="s">
        <v>51</v>
      </c>
      <c r="D18" s="7" t="s">
        <v>52</v>
      </c>
      <c r="E18" s="7" t="s">
        <v>53</v>
      </c>
      <c r="F18" s="8">
        <v>35701</v>
      </c>
      <c r="G18" s="7">
        <v>6</v>
      </c>
      <c r="H18" s="7">
        <v>8200</v>
      </c>
      <c r="I18" s="7">
        <v>108</v>
      </c>
      <c r="J18" s="7">
        <v>10</v>
      </c>
    </row>
    <row r="19" spans="1:10" ht="14.25" customHeight="1" x14ac:dyDescent="0.3">
      <c r="A19" s="7">
        <v>111</v>
      </c>
      <c r="B19" s="7" t="s">
        <v>54</v>
      </c>
      <c r="C19" s="7" t="s">
        <v>55</v>
      </c>
      <c r="D19" s="7" t="s">
        <v>56</v>
      </c>
      <c r="E19" s="7" t="s">
        <v>57</v>
      </c>
      <c r="F19" s="8">
        <v>35703</v>
      </c>
      <c r="G19" s="7">
        <v>6</v>
      </c>
      <c r="H19" s="7">
        <v>7700</v>
      </c>
      <c r="I19" s="7">
        <v>108</v>
      </c>
      <c r="J19" s="7">
        <v>10</v>
      </c>
    </row>
    <row r="20" spans="1:10" ht="14.25" customHeight="1" x14ac:dyDescent="0.3">
      <c r="A20" s="7">
        <v>112</v>
      </c>
      <c r="B20" s="7" t="s">
        <v>58</v>
      </c>
      <c r="C20" s="7" t="s">
        <v>59</v>
      </c>
      <c r="D20" s="7" t="s">
        <v>60</v>
      </c>
      <c r="E20" s="7" t="s">
        <v>61</v>
      </c>
      <c r="F20" s="8">
        <v>35861</v>
      </c>
      <c r="G20" s="7">
        <v>6</v>
      </c>
      <c r="H20" s="7">
        <v>7800</v>
      </c>
      <c r="I20" s="7">
        <v>108</v>
      </c>
      <c r="J20" s="7">
        <v>10</v>
      </c>
    </row>
    <row r="21" spans="1:10" ht="14.25" customHeight="1" x14ac:dyDescent="0.3">
      <c r="A21" s="7">
        <v>113</v>
      </c>
      <c r="B21" s="7" t="s">
        <v>62</v>
      </c>
      <c r="C21" s="7" t="s">
        <v>63</v>
      </c>
      <c r="D21" s="7" t="s">
        <v>64</v>
      </c>
      <c r="E21" s="7" t="s">
        <v>65</v>
      </c>
      <c r="F21" s="8">
        <v>36501</v>
      </c>
      <c r="G21" s="7">
        <v>6</v>
      </c>
      <c r="H21" s="7">
        <v>6900</v>
      </c>
      <c r="I21" s="7">
        <v>108</v>
      </c>
      <c r="J21" s="7">
        <v>10</v>
      </c>
    </row>
    <row r="22" spans="1:10" ht="14.25" customHeight="1" x14ac:dyDescent="0.3">
      <c r="A22" s="7">
        <v>114</v>
      </c>
      <c r="B22" s="7" t="s">
        <v>66</v>
      </c>
      <c r="C22" s="7" t="s">
        <v>67</v>
      </c>
      <c r="D22" s="7" t="s">
        <v>68</v>
      </c>
      <c r="E22" s="7" t="s">
        <v>69</v>
      </c>
      <c r="F22" s="8">
        <v>34675</v>
      </c>
      <c r="G22" s="7">
        <v>14</v>
      </c>
      <c r="H22" s="7">
        <v>11000</v>
      </c>
      <c r="I22" s="7">
        <v>100</v>
      </c>
      <c r="J22" s="7">
        <v>3</v>
      </c>
    </row>
    <row r="23" spans="1:10" ht="14.25" customHeight="1" x14ac:dyDescent="0.3">
      <c r="A23" s="7">
        <v>115</v>
      </c>
      <c r="B23" s="7" t="s">
        <v>22</v>
      </c>
      <c r="C23" s="7" t="s">
        <v>70</v>
      </c>
      <c r="D23" s="7" t="s">
        <v>71</v>
      </c>
      <c r="E23" s="7" t="s">
        <v>72</v>
      </c>
      <c r="F23" s="8">
        <v>34837</v>
      </c>
      <c r="G23" s="7">
        <v>13</v>
      </c>
      <c r="H23" s="7">
        <v>3100</v>
      </c>
      <c r="I23" s="7">
        <v>114</v>
      </c>
      <c r="J23" s="7">
        <v>3</v>
      </c>
    </row>
    <row r="24" spans="1:10" ht="14.25" customHeight="1" x14ac:dyDescent="0.3">
      <c r="A24" s="7">
        <v>116</v>
      </c>
      <c r="B24" s="7" t="s">
        <v>73</v>
      </c>
      <c r="C24" s="7" t="s">
        <v>74</v>
      </c>
      <c r="D24" s="7" t="s">
        <v>75</v>
      </c>
      <c r="E24" s="7" t="s">
        <v>76</v>
      </c>
      <c r="F24" s="8">
        <v>35788</v>
      </c>
      <c r="G24" s="7">
        <v>13</v>
      </c>
      <c r="H24" s="7">
        <v>2900</v>
      </c>
      <c r="I24" s="7">
        <v>114</v>
      </c>
      <c r="J24" s="7">
        <v>3</v>
      </c>
    </row>
    <row r="25" spans="1:10" ht="14.25" customHeight="1" x14ac:dyDescent="0.3">
      <c r="A25" s="7">
        <v>117</v>
      </c>
      <c r="B25" s="7" t="s">
        <v>77</v>
      </c>
      <c r="C25" s="7" t="s">
        <v>78</v>
      </c>
      <c r="D25" s="7" t="s">
        <v>79</v>
      </c>
      <c r="E25" s="7" t="s">
        <v>80</v>
      </c>
      <c r="F25" s="8">
        <v>35635</v>
      </c>
      <c r="G25" s="7">
        <v>13</v>
      </c>
      <c r="H25" s="7">
        <v>2800</v>
      </c>
      <c r="I25" s="7">
        <v>114</v>
      </c>
      <c r="J25" s="7">
        <v>3</v>
      </c>
    </row>
    <row r="26" spans="1:10" ht="14.25" customHeight="1" x14ac:dyDescent="0.3">
      <c r="A26" s="7">
        <v>118</v>
      </c>
      <c r="B26" s="7" t="s">
        <v>81</v>
      </c>
      <c r="C26" s="7" t="s">
        <v>82</v>
      </c>
      <c r="D26" s="7" t="s">
        <v>83</v>
      </c>
      <c r="E26" s="7" t="s">
        <v>84</v>
      </c>
      <c r="F26" s="8">
        <v>36114</v>
      </c>
      <c r="G26" s="7">
        <v>13</v>
      </c>
      <c r="H26" s="7">
        <v>2600</v>
      </c>
      <c r="I26" s="7">
        <v>114</v>
      </c>
      <c r="J26" s="7">
        <v>3</v>
      </c>
    </row>
    <row r="27" spans="1:10" ht="14.25" customHeight="1" x14ac:dyDescent="0.3">
      <c r="A27" s="7">
        <v>119</v>
      </c>
      <c r="B27" s="7" t="s">
        <v>85</v>
      </c>
      <c r="C27" s="7" t="s">
        <v>86</v>
      </c>
      <c r="D27" s="7" t="s">
        <v>87</v>
      </c>
      <c r="E27" s="7" t="s">
        <v>88</v>
      </c>
      <c r="F27" s="8">
        <v>36382</v>
      </c>
      <c r="G27" s="7">
        <v>13</v>
      </c>
      <c r="H27" s="7">
        <v>2500</v>
      </c>
      <c r="I27" s="7">
        <v>114</v>
      </c>
      <c r="J27" s="7">
        <v>3</v>
      </c>
    </row>
    <row r="28" spans="1:10" ht="14.25" customHeight="1" x14ac:dyDescent="0.3">
      <c r="A28" s="7">
        <v>120</v>
      </c>
      <c r="B28" s="7" t="s">
        <v>89</v>
      </c>
      <c r="C28" s="7" t="s">
        <v>90</v>
      </c>
      <c r="D28" s="7" t="s">
        <v>91</v>
      </c>
      <c r="E28" s="7" t="s">
        <v>92</v>
      </c>
      <c r="F28" s="8">
        <v>35264</v>
      </c>
      <c r="G28" s="7">
        <v>19</v>
      </c>
      <c r="H28" s="7">
        <v>8000</v>
      </c>
      <c r="I28" s="7">
        <v>100</v>
      </c>
      <c r="J28" s="7">
        <v>5</v>
      </c>
    </row>
    <row r="29" spans="1:10" ht="14.25" customHeight="1" x14ac:dyDescent="0.3">
      <c r="A29" s="7">
        <v>121</v>
      </c>
      <c r="B29" s="7" t="s">
        <v>93</v>
      </c>
      <c r="C29" s="7" t="s">
        <v>94</v>
      </c>
      <c r="D29" s="7" t="s">
        <v>95</v>
      </c>
      <c r="E29" s="7" t="s">
        <v>96</v>
      </c>
      <c r="F29" s="8">
        <v>35530</v>
      </c>
      <c r="G29" s="7">
        <v>19</v>
      </c>
      <c r="H29" s="7">
        <v>8200</v>
      </c>
      <c r="I29" s="7">
        <v>100</v>
      </c>
      <c r="J29" s="7">
        <v>5</v>
      </c>
    </row>
    <row r="30" spans="1:10" ht="14.25" customHeight="1" x14ac:dyDescent="0.3">
      <c r="A30" s="7">
        <v>122</v>
      </c>
      <c r="B30" s="7" t="s">
        <v>97</v>
      </c>
      <c r="C30" s="7" t="s">
        <v>98</v>
      </c>
      <c r="D30" s="7" t="s">
        <v>99</v>
      </c>
      <c r="E30" s="7" t="s">
        <v>100</v>
      </c>
      <c r="F30" s="8">
        <v>34820</v>
      </c>
      <c r="G30" s="7">
        <v>19</v>
      </c>
      <c r="H30" s="7">
        <v>7900</v>
      </c>
      <c r="I30" s="7">
        <v>100</v>
      </c>
      <c r="J30" s="7">
        <v>5</v>
      </c>
    </row>
    <row r="31" spans="1:10" ht="14.25" customHeight="1" x14ac:dyDescent="0.3">
      <c r="A31" s="7">
        <v>123</v>
      </c>
      <c r="B31" s="7" t="s">
        <v>101</v>
      </c>
      <c r="C31" s="7" t="s">
        <v>102</v>
      </c>
      <c r="D31" s="7" t="s">
        <v>103</v>
      </c>
      <c r="E31" s="7" t="s">
        <v>104</v>
      </c>
      <c r="F31" s="8">
        <v>35713</v>
      </c>
      <c r="G31" s="7">
        <v>19</v>
      </c>
      <c r="H31" s="7">
        <v>6500</v>
      </c>
      <c r="I31" s="7">
        <v>100</v>
      </c>
      <c r="J31" s="7">
        <v>5</v>
      </c>
    </row>
    <row r="32" spans="1:10" ht="14.25" customHeight="1" x14ac:dyDescent="0.3">
      <c r="A32" s="7">
        <v>126</v>
      </c>
      <c r="B32" s="7" t="s">
        <v>105</v>
      </c>
      <c r="C32" s="7" t="s">
        <v>106</v>
      </c>
      <c r="D32" s="7" t="s">
        <v>107</v>
      </c>
      <c r="E32" s="7" t="s">
        <v>108</v>
      </c>
      <c r="F32" s="8">
        <v>36066</v>
      </c>
      <c r="G32" s="7">
        <v>18</v>
      </c>
      <c r="H32" s="7">
        <v>2700</v>
      </c>
      <c r="I32" s="7">
        <v>120</v>
      </c>
      <c r="J32" s="7">
        <v>5</v>
      </c>
    </row>
    <row r="33" spans="1:10" ht="14.25" customHeight="1" x14ac:dyDescent="0.3">
      <c r="A33" s="7">
        <v>145</v>
      </c>
      <c r="B33" s="7" t="s">
        <v>50</v>
      </c>
      <c r="C33" s="7" t="s">
        <v>109</v>
      </c>
      <c r="D33" s="7" t="s">
        <v>110</v>
      </c>
      <c r="E33" s="9"/>
      <c r="F33" s="8">
        <v>35339</v>
      </c>
      <c r="G33" s="7">
        <v>15</v>
      </c>
      <c r="H33" s="7">
        <v>14000</v>
      </c>
      <c r="I33" s="7">
        <v>100</v>
      </c>
      <c r="J33" s="7">
        <v>8</v>
      </c>
    </row>
    <row r="34" spans="1:10" ht="14.25" customHeight="1" x14ac:dyDescent="0.3">
      <c r="A34" s="7">
        <v>146</v>
      </c>
      <c r="B34" s="7" t="s">
        <v>85</v>
      </c>
      <c r="C34" s="7" t="s">
        <v>111</v>
      </c>
      <c r="D34" s="7" t="s">
        <v>112</v>
      </c>
      <c r="E34" s="9"/>
      <c r="F34" s="8">
        <v>35435</v>
      </c>
      <c r="G34" s="7">
        <v>15</v>
      </c>
      <c r="H34" s="7">
        <v>13500</v>
      </c>
      <c r="I34" s="7">
        <v>100</v>
      </c>
      <c r="J34" s="7">
        <v>8</v>
      </c>
    </row>
    <row r="35" spans="1:10" ht="14.25" customHeight="1" x14ac:dyDescent="0.3">
      <c r="A35" s="7">
        <v>176</v>
      </c>
      <c r="B35" s="7" t="s">
        <v>113</v>
      </c>
      <c r="C35" s="7" t="s">
        <v>114</v>
      </c>
      <c r="D35" s="7" t="s">
        <v>115</v>
      </c>
      <c r="E35" s="9"/>
      <c r="F35" s="8">
        <v>35878</v>
      </c>
      <c r="G35" s="7">
        <v>16</v>
      </c>
      <c r="H35" s="7">
        <v>8600</v>
      </c>
      <c r="I35" s="7">
        <v>100</v>
      </c>
      <c r="J35" s="7">
        <v>8</v>
      </c>
    </row>
    <row r="36" spans="1:10" ht="14.25" customHeight="1" x14ac:dyDescent="0.3">
      <c r="A36" s="7">
        <v>177</v>
      </c>
      <c r="B36" s="7" t="s">
        <v>116</v>
      </c>
      <c r="C36" s="7" t="s">
        <v>117</v>
      </c>
      <c r="D36" s="7" t="s">
        <v>118</v>
      </c>
      <c r="E36" s="9"/>
      <c r="F36" s="8">
        <v>35908</v>
      </c>
      <c r="G36" s="7">
        <v>16</v>
      </c>
      <c r="H36" s="7">
        <v>8400</v>
      </c>
      <c r="I36" s="7">
        <v>100</v>
      </c>
      <c r="J36" s="7">
        <v>8</v>
      </c>
    </row>
    <row r="37" spans="1:10" ht="14.25" customHeight="1" x14ac:dyDescent="0.3">
      <c r="A37" s="7">
        <v>178</v>
      </c>
      <c r="B37" s="7" t="s">
        <v>119</v>
      </c>
      <c r="C37" s="7" t="s">
        <v>120</v>
      </c>
      <c r="D37" s="7" t="s">
        <v>121</v>
      </c>
      <c r="E37" s="9"/>
      <c r="F37" s="8">
        <v>36304</v>
      </c>
      <c r="G37" s="7">
        <v>16</v>
      </c>
      <c r="H37" s="7">
        <v>7000</v>
      </c>
      <c r="I37" s="7">
        <v>100</v>
      </c>
      <c r="J37" s="7">
        <v>8</v>
      </c>
    </row>
    <row r="38" spans="1:10" ht="14.25" customHeight="1" x14ac:dyDescent="0.3">
      <c r="A38" s="7">
        <v>179</v>
      </c>
      <c r="B38" s="7" t="s">
        <v>122</v>
      </c>
      <c r="C38" s="7" t="s">
        <v>123</v>
      </c>
      <c r="D38" s="7" t="s">
        <v>124</v>
      </c>
      <c r="E38" s="9"/>
      <c r="F38" s="8">
        <v>36529</v>
      </c>
      <c r="G38" s="7">
        <v>16</v>
      </c>
      <c r="H38" s="7">
        <v>6200</v>
      </c>
      <c r="I38" s="7">
        <v>100</v>
      </c>
      <c r="J38" s="7">
        <v>8</v>
      </c>
    </row>
    <row r="39" spans="1:10" ht="14.25" customHeight="1" x14ac:dyDescent="0.3">
      <c r="A39" s="7">
        <v>192</v>
      </c>
      <c r="B39" s="7" t="s">
        <v>125</v>
      </c>
      <c r="C39" s="7" t="s">
        <v>126</v>
      </c>
      <c r="D39" s="7" t="s">
        <v>127</v>
      </c>
      <c r="E39" s="7" t="s">
        <v>128</v>
      </c>
      <c r="F39" s="8">
        <v>35099</v>
      </c>
      <c r="G39" s="7">
        <v>17</v>
      </c>
      <c r="H39" s="7">
        <v>4000</v>
      </c>
      <c r="I39" s="7">
        <v>123</v>
      </c>
      <c r="J39" s="7">
        <v>5</v>
      </c>
    </row>
    <row r="40" spans="1:10" ht="14.25" customHeight="1" x14ac:dyDescent="0.3">
      <c r="A40" s="7">
        <v>193</v>
      </c>
      <c r="B40" s="7" t="s">
        <v>129</v>
      </c>
      <c r="C40" s="7" t="s">
        <v>130</v>
      </c>
      <c r="D40" s="7" t="s">
        <v>131</v>
      </c>
      <c r="E40" s="7" t="s">
        <v>132</v>
      </c>
      <c r="F40" s="8">
        <v>35492</v>
      </c>
      <c r="G40" s="7">
        <v>17</v>
      </c>
      <c r="H40" s="7">
        <v>3900</v>
      </c>
      <c r="I40" s="7">
        <v>123</v>
      </c>
      <c r="J40" s="7">
        <v>5</v>
      </c>
    </row>
    <row r="41" spans="1:10" ht="14.25" customHeight="1" x14ac:dyDescent="0.3">
      <c r="A41" s="7">
        <v>200</v>
      </c>
      <c r="B41" s="7" t="s">
        <v>133</v>
      </c>
      <c r="C41" s="7" t="s">
        <v>134</v>
      </c>
      <c r="D41" s="7" t="s">
        <v>135</v>
      </c>
      <c r="E41" s="7" t="s">
        <v>136</v>
      </c>
      <c r="F41" s="8">
        <v>32037</v>
      </c>
      <c r="G41" s="7">
        <v>3</v>
      </c>
      <c r="H41" s="7">
        <v>4400</v>
      </c>
      <c r="I41" s="7">
        <v>101</v>
      </c>
      <c r="J41" s="7">
        <v>1</v>
      </c>
    </row>
    <row r="42" spans="1:10" ht="14.25" customHeight="1" x14ac:dyDescent="0.3">
      <c r="A42" s="7">
        <v>201</v>
      </c>
      <c r="B42" s="7" t="s">
        <v>137</v>
      </c>
      <c r="C42" s="7" t="s">
        <v>138</v>
      </c>
      <c r="D42" s="7" t="s">
        <v>139</v>
      </c>
      <c r="E42" s="7" t="s">
        <v>140</v>
      </c>
      <c r="F42" s="8">
        <v>35112</v>
      </c>
      <c r="G42" s="7">
        <v>10</v>
      </c>
      <c r="H42" s="7">
        <v>13000</v>
      </c>
      <c r="I42" s="7">
        <v>100</v>
      </c>
      <c r="J42" s="7">
        <v>2</v>
      </c>
    </row>
    <row r="43" spans="1:10" ht="14.25" customHeight="1" x14ac:dyDescent="0.3">
      <c r="A43" s="7">
        <v>202</v>
      </c>
      <c r="B43" s="7" t="s">
        <v>141</v>
      </c>
      <c r="C43" s="7" t="s">
        <v>142</v>
      </c>
      <c r="D43" s="7" t="s">
        <v>143</v>
      </c>
      <c r="E43" s="7" t="s">
        <v>144</v>
      </c>
      <c r="F43" s="8">
        <v>35659</v>
      </c>
      <c r="G43" s="7">
        <v>11</v>
      </c>
      <c r="H43" s="7">
        <v>6000</v>
      </c>
      <c r="I43" s="7">
        <v>201</v>
      </c>
      <c r="J43" s="7">
        <v>2</v>
      </c>
    </row>
    <row r="44" spans="1:10" ht="14.25" customHeight="1" x14ac:dyDescent="0.3">
      <c r="A44" s="7">
        <v>203</v>
      </c>
      <c r="B44" s="7" t="s">
        <v>145</v>
      </c>
      <c r="C44" s="7" t="s">
        <v>146</v>
      </c>
      <c r="D44" s="7" t="s">
        <v>147</v>
      </c>
      <c r="E44" s="7" t="s">
        <v>148</v>
      </c>
      <c r="F44" s="8">
        <v>34492</v>
      </c>
      <c r="G44" s="7">
        <v>8</v>
      </c>
      <c r="H44" s="7">
        <v>6500</v>
      </c>
      <c r="I44" s="7">
        <v>101</v>
      </c>
      <c r="J44" s="7">
        <v>4</v>
      </c>
    </row>
    <row r="45" spans="1:10" ht="14.25" customHeight="1" x14ac:dyDescent="0.3">
      <c r="A45" s="7">
        <v>204</v>
      </c>
      <c r="B45" s="7" t="s">
        <v>149</v>
      </c>
      <c r="C45" s="7" t="s">
        <v>150</v>
      </c>
      <c r="D45" s="7" t="s">
        <v>151</v>
      </c>
      <c r="E45" s="7" t="s">
        <v>152</v>
      </c>
      <c r="F45" s="8">
        <v>34492</v>
      </c>
      <c r="G45" s="7">
        <v>12</v>
      </c>
      <c r="H45" s="7">
        <v>10000</v>
      </c>
      <c r="I45" s="7">
        <v>101</v>
      </c>
      <c r="J45" s="7">
        <v>7</v>
      </c>
    </row>
    <row r="46" spans="1:10" ht="14.25" customHeight="1" x14ac:dyDescent="0.3">
      <c r="A46" s="7">
        <v>205</v>
      </c>
      <c r="B46" s="7" t="s">
        <v>153</v>
      </c>
      <c r="C46" s="7" t="s">
        <v>154</v>
      </c>
      <c r="D46" s="7" t="s">
        <v>155</v>
      </c>
      <c r="E46" s="7" t="s">
        <v>156</v>
      </c>
      <c r="F46" s="8">
        <v>34492</v>
      </c>
      <c r="G46" s="7">
        <v>2</v>
      </c>
      <c r="H46" s="7">
        <v>12000</v>
      </c>
      <c r="I46" s="7">
        <v>101</v>
      </c>
      <c r="J46" s="7">
        <v>11</v>
      </c>
    </row>
    <row r="47" spans="1:10" ht="14.25" customHeight="1" x14ac:dyDescent="0.3">
      <c r="A47" s="7">
        <v>206</v>
      </c>
      <c r="B47" s="7" t="s">
        <v>157</v>
      </c>
      <c r="C47" s="7" t="s">
        <v>158</v>
      </c>
      <c r="D47" s="7" t="s">
        <v>159</v>
      </c>
      <c r="E47" s="7" t="s">
        <v>160</v>
      </c>
      <c r="F47" s="8">
        <v>34492</v>
      </c>
      <c r="G47" s="7">
        <v>1</v>
      </c>
      <c r="H47" s="7">
        <v>8300</v>
      </c>
      <c r="I47" s="7">
        <v>205</v>
      </c>
      <c r="J47" s="7">
        <v>11</v>
      </c>
    </row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conditionalFormatting sqref="A8:J47">
    <cfRule type="expression" dxfId="51" priority="1">
      <formula>$H8&gt;15000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6940-37B8-43A6-922E-AFBE8EA5EDAE}">
  <sheetPr codeName="Sheet5"/>
  <dimension ref="A2:Z1007"/>
  <sheetViews>
    <sheetView topLeftCell="A16" zoomScaleNormal="100" workbookViewId="0">
      <selection activeCell="K9" sqref="K9"/>
    </sheetView>
  </sheetViews>
  <sheetFormatPr defaultColWidth="12.6640625" defaultRowHeight="15" customHeight="1" x14ac:dyDescent="0.3"/>
  <cols>
    <col min="1" max="1" width="11.6640625" bestFit="1" customWidth="1"/>
    <col min="2" max="3" width="10.77734375" bestFit="1" customWidth="1"/>
    <col min="4" max="4" width="29.88671875" customWidth="1"/>
    <col min="5" max="5" width="13.44140625" bestFit="1" customWidth="1"/>
    <col min="6" max="6" width="10.33203125" bestFit="1" customWidth="1"/>
    <col min="7" max="7" width="6.109375" bestFit="1" customWidth="1"/>
    <col min="8" max="8" width="8.6640625" customWidth="1"/>
    <col min="9" max="9" width="10.6640625" bestFit="1" customWidth="1"/>
    <col min="10" max="10" width="13.44140625" bestFit="1" customWidth="1"/>
    <col min="11" max="11" width="8.6640625" customWidth="1"/>
    <col min="12" max="12" width="13.44140625" bestFit="1" customWidth="1"/>
    <col min="13" max="13" width="10.33203125" bestFit="1" customWidth="1"/>
    <col min="14" max="26" width="8.6640625" customWidth="1"/>
  </cols>
  <sheetData>
    <row r="2" spans="1:26" ht="15" customHeight="1" x14ac:dyDescent="0.35">
      <c r="D2" s="5" t="s">
        <v>163</v>
      </c>
    </row>
    <row r="3" spans="1:26" ht="15" customHeight="1" x14ac:dyDescent="0.35">
      <c r="D3" s="5"/>
    </row>
    <row r="4" spans="1:26" ht="15" customHeight="1" x14ac:dyDescent="0.35">
      <c r="E4" s="15" t="s">
        <v>318</v>
      </c>
    </row>
    <row r="5" spans="1:26" ht="15" customHeight="1" x14ac:dyDescent="0.3">
      <c r="H5" s="35" t="s">
        <v>321</v>
      </c>
    </row>
    <row r="8" spans="1:26" ht="14.25" customHeight="1" x14ac:dyDescent="0.3">
      <c r="A8" s="12" t="s">
        <v>0</v>
      </c>
      <c r="B8" s="12" t="s">
        <v>1</v>
      </c>
      <c r="C8" s="12" t="s">
        <v>2</v>
      </c>
      <c r="D8" s="12" t="s">
        <v>3</v>
      </c>
      <c r="E8" s="12" t="s">
        <v>4</v>
      </c>
      <c r="F8" s="12" t="s">
        <v>5</v>
      </c>
      <c r="G8" s="12" t="s">
        <v>6</v>
      </c>
      <c r="H8" s="12" t="s">
        <v>7</v>
      </c>
      <c r="I8" s="12" t="s">
        <v>8</v>
      </c>
      <c r="J8" s="12" t="s">
        <v>9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7">
        <v>100</v>
      </c>
      <c r="B9" s="7" t="s">
        <v>10</v>
      </c>
      <c r="C9" s="7" t="s">
        <v>11</v>
      </c>
      <c r="D9" s="7" t="s">
        <v>12</v>
      </c>
      <c r="E9" s="7" t="s">
        <v>13</v>
      </c>
      <c r="F9" s="8">
        <v>31945</v>
      </c>
      <c r="G9" s="7">
        <v>4</v>
      </c>
      <c r="H9" s="7">
        <v>24000</v>
      </c>
      <c r="I9" s="9"/>
      <c r="J9" s="7">
        <v>9</v>
      </c>
      <c r="L9" s="35" t="s">
        <v>319</v>
      </c>
      <c r="M9" s="16">
        <f>MAX(F9:F48)</f>
        <v>36529</v>
      </c>
    </row>
    <row r="10" spans="1:26" ht="14.25" customHeight="1" x14ac:dyDescent="0.3">
      <c r="A10" s="7">
        <v>101</v>
      </c>
      <c r="B10" s="7" t="s">
        <v>14</v>
      </c>
      <c r="C10" s="7" t="s">
        <v>15</v>
      </c>
      <c r="D10" s="7" t="s">
        <v>16</v>
      </c>
      <c r="E10" s="7" t="s">
        <v>17</v>
      </c>
      <c r="F10" s="8">
        <v>32772</v>
      </c>
      <c r="G10" s="7">
        <v>5</v>
      </c>
      <c r="H10" s="7">
        <v>17000</v>
      </c>
      <c r="I10" s="7">
        <v>100</v>
      </c>
      <c r="J10" s="7">
        <v>9</v>
      </c>
      <c r="L10" s="35" t="s">
        <v>320</v>
      </c>
      <c r="M10" s="16">
        <f>EDATE(M9,-48)</f>
        <v>35068</v>
      </c>
    </row>
    <row r="11" spans="1:26" ht="14.25" customHeight="1" x14ac:dyDescent="0.3">
      <c r="A11" s="7">
        <v>102</v>
      </c>
      <c r="B11" s="7" t="s">
        <v>18</v>
      </c>
      <c r="C11" s="7" t="s">
        <v>19</v>
      </c>
      <c r="D11" s="7" t="s">
        <v>20</v>
      </c>
      <c r="E11" s="7" t="s">
        <v>21</v>
      </c>
      <c r="F11" s="8">
        <v>33982</v>
      </c>
      <c r="G11" s="7">
        <v>5</v>
      </c>
      <c r="H11" s="7">
        <v>17000</v>
      </c>
      <c r="I11" s="7">
        <v>100</v>
      </c>
      <c r="J11" s="7">
        <v>9</v>
      </c>
    </row>
    <row r="12" spans="1:26" ht="14.25" customHeight="1" x14ac:dyDescent="0.3">
      <c r="A12" s="7">
        <v>103</v>
      </c>
      <c r="B12" s="7" t="s">
        <v>22</v>
      </c>
      <c r="C12" s="7" t="s">
        <v>23</v>
      </c>
      <c r="D12" s="7" t="s">
        <v>24</v>
      </c>
      <c r="E12" s="7" t="s">
        <v>25</v>
      </c>
      <c r="F12" s="8">
        <v>32876</v>
      </c>
      <c r="G12" s="7">
        <v>9</v>
      </c>
      <c r="H12" s="7">
        <v>9000</v>
      </c>
      <c r="I12" s="7">
        <v>102</v>
      </c>
      <c r="J12" s="7">
        <v>6</v>
      </c>
    </row>
    <row r="13" spans="1:26" ht="14.25" customHeight="1" x14ac:dyDescent="0.3">
      <c r="A13" s="7">
        <v>104</v>
      </c>
      <c r="B13" s="7" t="s">
        <v>26</v>
      </c>
      <c r="C13" s="7" t="s">
        <v>27</v>
      </c>
      <c r="D13" s="7" t="s">
        <v>28</v>
      </c>
      <c r="E13" s="7" t="s">
        <v>29</v>
      </c>
      <c r="F13" s="8">
        <v>33379</v>
      </c>
      <c r="G13" s="7">
        <v>9</v>
      </c>
      <c r="H13" s="7">
        <v>6000</v>
      </c>
      <c r="I13" s="7">
        <v>103</v>
      </c>
      <c r="J13" s="7">
        <v>6</v>
      </c>
    </row>
    <row r="14" spans="1:26" ht="14.25" customHeight="1" x14ac:dyDescent="0.3">
      <c r="A14" s="7">
        <v>105</v>
      </c>
      <c r="B14" s="7" t="s">
        <v>30</v>
      </c>
      <c r="C14" s="7" t="s">
        <v>31</v>
      </c>
      <c r="D14" s="7" t="s">
        <v>32</v>
      </c>
      <c r="E14" s="7" t="s">
        <v>33</v>
      </c>
      <c r="F14" s="8">
        <v>35606</v>
      </c>
      <c r="G14" s="7">
        <v>9</v>
      </c>
      <c r="H14" s="7">
        <v>4800</v>
      </c>
      <c r="I14" s="7">
        <v>103</v>
      </c>
      <c r="J14" s="7">
        <v>6</v>
      </c>
    </row>
    <row r="15" spans="1:26" ht="14.25" customHeight="1" x14ac:dyDescent="0.3">
      <c r="A15" s="7">
        <v>106</v>
      </c>
      <c r="B15" s="7" t="s">
        <v>34</v>
      </c>
      <c r="C15" s="7" t="s">
        <v>35</v>
      </c>
      <c r="D15" s="7" t="s">
        <v>36</v>
      </c>
      <c r="E15" s="7" t="s">
        <v>37</v>
      </c>
      <c r="F15" s="8">
        <v>35831</v>
      </c>
      <c r="G15" s="7">
        <v>9</v>
      </c>
      <c r="H15" s="7">
        <v>4800</v>
      </c>
      <c r="I15" s="7">
        <v>103</v>
      </c>
      <c r="J15" s="7">
        <v>6</v>
      </c>
    </row>
    <row r="16" spans="1:26" ht="14.25" customHeight="1" x14ac:dyDescent="0.3">
      <c r="A16" s="7">
        <v>107</v>
      </c>
      <c r="B16" s="7" t="s">
        <v>38</v>
      </c>
      <c r="C16" s="7" t="s">
        <v>39</v>
      </c>
      <c r="D16" s="7" t="s">
        <v>40</v>
      </c>
      <c r="E16" s="7" t="s">
        <v>41</v>
      </c>
      <c r="F16" s="8">
        <v>36198</v>
      </c>
      <c r="G16" s="7">
        <v>9</v>
      </c>
      <c r="H16" s="7">
        <v>4200</v>
      </c>
      <c r="I16" s="7">
        <v>103</v>
      </c>
      <c r="J16" s="7">
        <v>6</v>
      </c>
    </row>
    <row r="17" spans="1:10" ht="14.25" customHeight="1" x14ac:dyDescent="0.3">
      <c r="A17" s="7">
        <v>108</v>
      </c>
      <c r="B17" s="7" t="s">
        <v>42</v>
      </c>
      <c r="C17" s="7" t="s">
        <v>43</v>
      </c>
      <c r="D17" s="7" t="s">
        <v>44</v>
      </c>
      <c r="E17" s="7" t="s">
        <v>45</v>
      </c>
      <c r="F17" s="8">
        <v>34563</v>
      </c>
      <c r="G17" s="7">
        <v>7</v>
      </c>
      <c r="H17" s="7">
        <v>12000</v>
      </c>
      <c r="I17" s="7">
        <v>101</v>
      </c>
      <c r="J17" s="7">
        <v>10</v>
      </c>
    </row>
    <row r="18" spans="1:10" ht="14.25" customHeight="1" x14ac:dyDescent="0.3">
      <c r="A18" s="7">
        <v>109</v>
      </c>
      <c r="B18" s="7" t="s">
        <v>46</v>
      </c>
      <c r="C18" s="7" t="s">
        <v>47</v>
      </c>
      <c r="D18" s="7" t="s">
        <v>48</v>
      </c>
      <c r="E18" s="7" t="s">
        <v>49</v>
      </c>
      <c r="F18" s="8">
        <v>34562</v>
      </c>
      <c r="G18" s="7">
        <v>6</v>
      </c>
      <c r="H18" s="7">
        <v>9000</v>
      </c>
      <c r="I18" s="7">
        <v>108</v>
      </c>
      <c r="J18" s="7">
        <v>10</v>
      </c>
    </row>
    <row r="19" spans="1:10" ht="14.25" customHeight="1" x14ac:dyDescent="0.3">
      <c r="A19" s="7">
        <v>110</v>
      </c>
      <c r="B19" s="7" t="s">
        <v>50</v>
      </c>
      <c r="C19" s="7" t="s">
        <v>51</v>
      </c>
      <c r="D19" s="7" t="s">
        <v>52</v>
      </c>
      <c r="E19" s="7" t="s">
        <v>53</v>
      </c>
      <c r="F19" s="8">
        <v>35701</v>
      </c>
      <c r="G19" s="7">
        <v>6</v>
      </c>
      <c r="H19" s="7">
        <v>8200</v>
      </c>
      <c r="I19" s="7">
        <v>108</v>
      </c>
      <c r="J19" s="7">
        <v>10</v>
      </c>
    </row>
    <row r="20" spans="1:10" ht="14.25" customHeight="1" x14ac:dyDescent="0.3">
      <c r="A20" s="7">
        <v>111</v>
      </c>
      <c r="B20" s="7" t="s">
        <v>54</v>
      </c>
      <c r="C20" s="7" t="s">
        <v>55</v>
      </c>
      <c r="D20" s="7" t="s">
        <v>56</v>
      </c>
      <c r="E20" s="7" t="s">
        <v>57</v>
      </c>
      <c r="F20" s="8">
        <v>35703</v>
      </c>
      <c r="G20" s="7">
        <v>6</v>
      </c>
      <c r="H20" s="7">
        <v>7700</v>
      </c>
      <c r="I20" s="7">
        <v>108</v>
      </c>
      <c r="J20" s="7">
        <v>10</v>
      </c>
    </row>
    <row r="21" spans="1:10" ht="14.25" customHeight="1" x14ac:dyDescent="0.3">
      <c r="A21" s="7">
        <v>112</v>
      </c>
      <c r="B21" s="7" t="s">
        <v>58</v>
      </c>
      <c r="C21" s="7" t="s">
        <v>59</v>
      </c>
      <c r="D21" s="7" t="s">
        <v>60</v>
      </c>
      <c r="E21" s="7" t="s">
        <v>61</v>
      </c>
      <c r="F21" s="8">
        <v>35861</v>
      </c>
      <c r="G21" s="7">
        <v>6</v>
      </c>
      <c r="H21" s="7">
        <v>7800</v>
      </c>
      <c r="I21" s="7">
        <v>108</v>
      </c>
      <c r="J21" s="7">
        <v>10</v>
      </c>
    </row>
    <row r="22" spans="1:10" ht="14.25" customHeight="1" x14ac:dyDescent="0.3">
      <c r="A22" s="7">
        <v>113</v>
      </c>
      <c r="B22" s="7" t="s">
        <v>62</v>
      </c>
      <c r="C22" s="7" t="s">
        <v>63</v>
      </c>
      <c r="D22" s="7" t="s">
        <v>64</v>
      </c>
      <c r="E22" s="7" t="s">
        <v>65</v>
      </c>
      <c r="F22" s="8">
        <v>36501</v>
      </c>
      <c r="G22" s="7">
        <v>6</v>
      </c>
      <c r="H22" s="7">
        <v>6900</v>
      </c>
      <c r="I22" s="7">
        <v>108</v>
      </c>
      <c r="J22" s="7">
        <v>10</v>
      </c>
    </row>
    <row r="23" spans="1:10" ht="14.25" customHeight="1" x14ac:dyDescent="0.3">
      <c r="A23" s="7">
        <v>114</v>
      </c>
      <c r="B23" s="7" t="s">
        <v>66</v>
      </c>
      <c r="C23" s="7" t="s">
        <v>67</v>
      </c>
      <c r="D23" s="7" t="s">
        <v>68</v>
      </c>
      <c r="E23" s="7" t="s">
        <v>69</v>
      </c>
      <c r="F23" s="8">
        <v>34675</v>
      </c>
      <c r="G23" s="7">
        <v>14</v>
      </c>
      <c r="H23" s="7">
        <v>11000</v>
      </c>
      <c r="I23" s="7">
        <v>100</v>
      </c>
      <c r="J23" s="7">
        <v>3</v>
      </c>
    </row>
    <row r="24" spans="1:10" ht="14.25" customHeight="1" x14ac:dyDescent="0.3">
      <c r="A24" s="7">
        <v>115</v>
      </c>
      <c r="B24" s="7" t="s">
        <v>22</v>
      </c>
      <c r="C24" s="7" t="s">
        <v>70</v>
      </c>
      <c r="D24" s="7" t="s">
        <v>71</v>
      </c>
      <c r="E24" s="7" t="s">
        <v>72</v>
      </c>
      <c r="F24" s="8">
        <v>34837</v>
      </c>
      <c r="G24" s="7">
        <v>13</v>
      </c>
      <c r="H24" s="7">
        <v>3100</v>
      </c>
      <c r="I24" s="7">
        <v>114</v>
      </c>
      <c r="J24" s="7">
        <v>3</v>
      </c>
    </row>
    <row r="25" spans="1:10" ht="14.25" customHeight="1" x14ac:dyDescent="0.3">
      <c r="A25" s="7">
        <v>116</v>
      </c>
      <c r="B25" s="7" t="s">
        <v>73</v>
      </c>
      <c r="C25" s="7" t="s">
        <v>74</v>
      </c>
      <c r="D25" s="7" t="s">
        <v>75</v>
      </c>
      <c r="E25" s="7" t="s">
        <v>76</v>
      </c>
      <c r="F25" s="8">
        <v>35788</v>
      </c>
      <c r="G25" s="7">
        <v>13</v>
      </c>
      <c r="H25" s="7">
        <v>2900</v>
      </c>
      <c r="I25" s="7">
        <v>114</v>
      </c>
      <c r="J25" s="7">
        <v>3</v>
      </c>
    </row>
    <row r="26" spans="1:10" ht="14.25" customHeight="1" x14ac:dyDescent="0.3">
      <c r="A26" s="7">
        <v>117</v>
      </c>
      <c r="B26" s="7" t="s">
        <v>77</v>
      </c>
      <c r="C26" s="7" t="s">
        <v>78</v>
      </c>
      <c r="D26" s="7" t="s">
        <v>79</v>
      </c>
      <c r="E26" s="7" t="s">
        <v>80</v>
      </c>
      <c r="F26" s="8">
        <v>35635</v>
      </c>
      <c r="G26" s="7">
        <v>13</v>
      </c>
      <c r="H26" s="7">
        <v>2800</v>
      </c>
      <c r="I26" s="7">
        <v>114</v>
      </c>
      <c r="J26" s="7">
        <v>3</v>
      </c>
    </row>
    <row r="27" spans="1:10" ht="14.25" customHeight="1" x14ac:dyDescent="0.3">
      <c r="A27" s="7">
        <v>118</v>
      </c>
      <c r="B27" s="7" t="s">
        <v>81</v>
      </c>
      <c r="C27" s="7" t="s">
        <v>82</v>
      </c>
      <c r="D27" s="7" t="s">
        <v>83</v>
      </c>
      <c r="E27" s="7" t="s">
        <v>84</v>
      </c>
      <c r="F27" s="8">
        <v>36114</v>
      </c>
      <c r="G27" s="7">
        <v>13</v>
      </c>
      <c r="H27" s="7">
        <v>2600</v>
      </c>
      <c r="I27" s="7">
        <v>114</v>
      </c>
      <c r="J27" s="7">
        <v>3</v>
      </c>
    </row>
    <row r="28" spans="1:10" ht="14.25" customHeight="1" x14ac:dyDescent="0.3">
      <c r="A28" s="7">
        <v>119</v>
      </c>
      <c r="B28" s="7" t="s">
        <v>85</v>
      </c>
      <c r="C28" s="7" t="s">
        <v>86</v>
      </c>
      <c r="D28" s="7" t="s">
        <v>87</v>
      </c>
      <c r="E28" s="7" t="s">
        <v>88</v>
      </c>
      <c r="F28" s="8">
        <v>36382</v>
      </c>
      <c r="G28" s="7">
        <v>13</v>
      </c>
      <c r="H28" s="7">
        <v>2500</v>
      </c>
      <c r="I28" s="7">
        <v>114</v>
      </c>
      <c r="J28" s="7">
        <v>3</v>
      </c>
    </row>
    <row r="29" spans="1:10" ht="14.25" customHeight="1" x14ac:dyDescent="0.3">
      <c r="A29" s="7">
        <v>120</v>
      </c>
      <c r="B29" s="7" t="s">
        <v>89</v>
      </c>
      <c r="C29" s="7" t="s">
        <v>90</v>
      </c>
      <c r="D29" s="7" t="s">
        <v>91</v>
      </c>
      <c r="E29" s="7" t="s">
        <v>92</v>
      </c>
      <c r="F29" s="8">
        <v>35264</v>
      </c>
      <c r="G29" s="7">
        <v>19</v>
      </c>
      <c r="H29" s="7">
        <v>8000</v>
      </c>
      <c r="I29" s="7">
        <v>100</v>
      </c>
      <c r="J29" s="7">
        <v>5</v>
      </c>
    </row>
    <row r="30" spans="1:10" ht="14.25" customHeight="1" x14ac:dyDescent="0.3">
      <c r="A30" s="7">
        <v>121</v>
      </c>
      <c r="B30" s="7" t="s">
        <v>93</v>
      </c>
      <c r="C30" s="7" t="s">
        <v>94</v>
      </c>
      <c r="D30" s="7" t="s">
        <v>95</v>
      </c>
      <c r="E30" s="7" t="s">
        <v>96</v>
      </c>
      <c r="F30" s="8">
        <v>35530</v>
      </c>
      <c r="G30" s="7">
        <v>19</v>
      </c>
      <c r="H30" s="7">
        <v>8200</v>
      </c>
      <c r="I30" s="7">
        <v>100</v>
      </c>
      <c r="J30" s="7">
        <v>5</v>
      </c>
    </row>
    <row r="31" spans="1:10" ht="14.25" customHeight="1" x14ac:dyDescent="0.3">
      <c r="A31" s="7">
        <v>122</v>
      </c>
      <c r="B31" s="7" t="s">
        <v>97</v>
      </c>
      <c r="C31" s="7" t="s">
        <v>98</v>
      </c>
      <c r="D31" s="7" t="s">
        <v>99</v>
      </c>
      <c r="E31" s="7" t="s">
        <v>100</v>
      </c>
      <c r="F31" s="8">
        <v>34820</v>
      </c>
      <c r="G31" s="7">
        <v>19</v>
      </c>
      <c r="H31" s="7">
        <v>7900</v>
      </c>
      <c r="I31" s="7">
        <v>100</v>
      </c>
      <c r="J31" s="7">
        <v>5</v>
      </c>
    </row>
    <row r="32" spans="1:10" ht="14.25" customHeight="1" x14ac:dyDescent="0.3">
      <c r="A32" s="7">
        <v>123</v>
      </c>
      <c r="B32" s="7" t="s">
        <v>101</v>
      </c>
      <c r="C32" s="7" t="s">
        <v>102</v>
      </c>
      <c r="D32" s="7" t="s">
        <v>103</v>
      </c>
      <c r="E32" s="7" t="s">
        <v>104</v>
      </c>
      <c r="F32" s="8">
        <v>35713</v>
      </c>
      <c r="G32" s="7">
        <v>19</v>
      </c>
      <c r="H32" s="7">
        <v>6500</v>
      </c>
      <c r="I32" s="7">
        <v>100</v>
      </c>
      <c r="J32" s="7">
        <v>5</v>
      </c>
    </row>
    <row r="33" spans="1:10" ht="14.25" customHeight="1" x14ac:dyDescent="0.3">
      <c r="A33" s="7">
        <v>126</v>
      </c>
      <c r="B33" s="7" t="s">
        <v>105</v>
      </c>
      <c r="C33" s="7" t="s">
        <v>106</v>
      </c>
      <c r="D33" s="7" t="s">
        <v>107</v>
      </c>
      <c r="E33" s="7" t="s">
        <v>108</v>
      </c>
      <c r="F33" s="8">
        <v>36066</v>
      </c>
      <c r="G33" s="7">
        <v>18</v>
      </c>
      <c r="H33" s="7">
        <v>2700</v>
      </c>
      <c r="I33" s="7">
        <v>120</v>
      </c>
      <c r="J33" s="7">
        <v>5</v>
      </c>
    </row>
    <row r="34" spans="1:10" ht="14.25" customHeight="1" x14ac:dyDescent="0.3">
      <c r="A34" s="7">
        <v>145</v>
      </c>
      <c r="B34" s="7" t="s">
        <v>50</v>
      </c>
      <c r="C34" s="7" t="s">
        <v>109</v>
      </c>
      <c r="D34" s="7" t="s">
        <v>110</v>
      </c>
      <c r="E34" s="9"/>
      <c r="F34" s="8">
        <v>35339</v>
      </c>
      <c r="G34" s="7">
        <v>15</v>
      </c>
      <c r="H34" s="7">
        <v>14000</v>
      </c>
      <c r="I34" s="7">
        <v>100</v>
      </c>
      <c r="J34" s="7">
        <v>8</v>
      </c>
    </row>
    <row r="35" spans="1:10" ht="14.25" customHeight="1" x14ac:dyDescent="0.3">
      <c r="A35" s="7">
        <v>146</v>
      </c>
      <c r="B35" s="7" t="s">
        <v>85</v>
      </c>
      <c r="C35" s="7" t="s">
        <v>111</v>
      </c>
      <c r="D35" s="7" t="s">
        <v>112</v>
      </c>
      <c r="E35" s="9"/>
      <c r="F35" s="8">
        <v>35435</v>
      </c>
      <c r="G35" s="7">
        <v>15</v>
      </c>
      <c r="H35" s="7">
        <v>13500</v>
      </c>
      <c r="I35" s="7">
        <v>100</v>
      </c>
      <c r="J35" s="7">
        <v>8</v>
      </c>
    </row>
    <row r="36" spans="1:10" ht="14.25" customHeight="1" x14ac:dyDescent="0.3">
      <c r="A36" s="7">
        <v>176</v>
      </c>
      <c r="B36" s="7" t="s">
        <v>113</v>
      </c>
      <c r="C36" s="7" t="s">
        <v>114</v>
      </c>
      <c r="D36" s="7" t="s">
        <v>115</v>
      </c>
      <c r="E36" s="9"/>
      <c r="F36" s="8">
        <v>35878</v>
      </c>
      <c r="G36" s="7">
        <v>16</v>
      </c>
      <c r="H36" s="7">
        <v>8600</v>
      </c>
      <c r="I36" s="7">
        <v>100</v>
      </c>
      <c r="J36" s="7">
        <v>8</v>
      </c>
    </row>
    <row r="37" spans="1:10" ht="14.25" customHeight="1" x14ac:dyDescent="0.3">
      <c r="A37" s="7">
        <v>177</v>
      </c>
      <c r="B37" s="7" t="s">
        <v>116</v>
      </c>
      <c r="C37" s="7" t="s">
        <v>117</v>
      </c>
      <c r="D37" s="7" t="s">
        <v>118</v>
      </c>
      <c r="E37" s="9"/>
      <c r="F37" s="8">
        <v>35908</v>
      </c>
      <c r="G37" s="7">
        <v>16</v>
      </c>
      <c r="H37" s="7">
        <v>8400</v>
      </c>
      <c r="I37" s="7">
        <v>100</v>
      </c>
      <c r="J37" s="7">
        <v>8</v>
      </c>
    </row>
    <row r="38" spans="1:10" ht="14.25" customHeight="1" x14ac:dyDescent="0.3">
      <c r="A38" s="7">
        <v>178</v>
      </c>
      <c r="B38" s="7" t="s">
        <v>119</v>
      </c>
      <c r="C38" s="7" t="s">
        <v>120</v>
      </c>
      <c r="D38" s="7" t="s">
        <v>121</v>
      </c>
      <c r="E38" s="9"/>
      <c r="F38" s="8">
        <v>36304</v>
      </c>
      <c r="G38" s="7">
        <v>16</v>
      </c>
      <c r="H38" s="7">
        <v>7000</v>
      </c>
      <c r="I38" s="7">
        <v>100</v>
      </c>
      <c r="J38" s="7">
        <v>8</v>
      </c>
    </row>
    <row r="39" spans="1:10" ht="14.25" customHeight="1" x14ac:dyDescent="0.3">
      <c r="A39" s="7">
        <v>179</v>
      </c>
      <c r="B39" s="7" t="s">
        <v>122</v>
      </c>
      <c r="C39" s="7" t="s">
        <v>123</v>
      </c>
      <c r="D39" s="7" t="s">
        <v>124</v>
      </c>
      <c r="E39" s="9"/>
      <c r="F39" s="8">
        <v>36529</v>
      </c>
      <c r="G39" s="7">
        <v>16</v>
      </c>
      <c r="H39" s="7">
        <v>6200</v>
      </c>
      <c r="I39" s="7">
        <v>100</v>
      </c>
      <c r="J39" s="7">
        <v>8</v>
      </c>
    </row>
    <row r="40" spans="1:10" ht="14.25" customHeight="1" x14ac:dyDescent="0.3">
      <c r="A40" s="7">
        <v>192</v>
      </c>
      <c r="B40" s="7" t="s">
        <v>125</v>
      </c>
      <c r="C40" s="7" t="s">
        <v>126</v>
      </c>
      <c r="D40" s="7" t="s">
        <v>127</v>
      </c>
      <c r="E40" s="7" t="s">
        <v>128</v>
      </c>
      <c r="F40" s="8">
        <v>35099</v>
      </c>
      <c r="G40" s="7">
        <v>17</v>
      </c>
      <c r="H40" s="7">
        <v>4000</v>
      </c>
      <c r="I40" s="7">
        <v>123</v>
      </c>
      <c r="J40" s="7">
        <v>5</v>
      </c>
    </row>
    <row r="41" spans="1:10" ht="14.25" customHeight="1" x14ac:dyDescent="0.3">
      <c r="A41" s="7">
        <v>193</v>
      </c>
      <c r="B41" s="7" t="s">
        <v>129</v>
      </c>
      <c r="C41" s="7" t="s">
        <v>130</v>
      </c>
      <c r="D41" s="7" t="s">
        <v>131</v>
      </c>
      <c r="E41" s="7" t="s">
        <v>132</v>
      </c>
      <c r="F41" s="8">
        <v>35492</v>
      </c>
      <c r="G41" s="7">
        <v>17</v>
      </c>
      <c r="H41" s="7">
        <v>3900</v>
      </c>
      <c r="I41" s="7">
        <v>123</v>
      </c>
      <c r="J41" s="7">
        <v>5</v>
      </c>
    </row>
    <row r="42" spans="1:10" ht="14.25" customHeight="1" x14ac:dyDescent="0.3">
      <c r="A42" s="7">
        <v>200</v>
      </c>
      <c r="B42" s="7" t="s">
        <v>133</v>
      </c>
      <c r="C42" s="7" t="s">
        <v>134</v>
      </c>
      <c r="D42" s="7" t="s">
        <v>135</v>
      </c>
      <c r="E42" s="7" t="s">
        <v>136</v>
      </c>
      <c r="F42" s="8">
        <v>32037</v>
      </c>
      <c r="G42" s="7">
        <v>3</v>
      </c>
      <c r="H42" s="7">
        <v>4400</v>
      </c>
      <c r="I42" s="7">
        <v>101</v>
      </c>
      <c r="J42" s="7">
        <v>1</v>
      </c>
    </row>
    <row r="43" spans="1:10" ht="14.25" customHeight="1" x14ac:dyDescent="0.3">
      <c r="A43" s="7">
        <v>201</v>
      </c>
      <c r="B43" s="7" t="s">
        <v>137</v>
      </c>
      <c r="C43" s="7" t="s">
        <v>138</v>
      </c>
      <c r="D43" s="7" t="s">
        <v>139</v>
      </c>
      <c r="E43" s="7" t="s">
        <v>140</v>
      </c>
      <c r="F43" s="8">
        <v>35112</v>
      </c>
      <c r="G43" s="7">
        <v>10</v>
      </c>
      <c r="H43" s="7">
        <v>13000</v>
      </c>
      <c r="I43" s="7">
        <v>100</v>
      </c>
      <c r="J43" s="7">
        <v>2</v>
      </c>
    </row>
    <row r="44" spans="1:10" ht="14.25" customHeight="1" x14ac:dyDescent="0.3">
      <c r="A44" s="7">
        <v>202</v>
      </c>
      <c r="B44" s="7" t="s">
        <v>141</v>
      </c>
      <c r="C44" s="7" t="s">
        <v>142</v>
      </c>
      <c r="D44" s="7" t="s">
        <v>143</v>
      </c>
      <c r="E44" s="7" t="s">
        <v>144</v>
      </c>
      <c r="F44" s="8">
        <v>35659</v>
      </c>
      <c r="G44" s="7">
        <v>11</v>
      </c>
      <c r="H44" s="7">
        <v>6000</v>
      </c>
      <c r="I44" s="7">
        <v>201</v>
      </c>
      <c r="J44" s="7">
        <v>2</v>
      </c>
    </row>
    <row r="45" spans="1:10" ht="14.25" customHeight="1" x14ac:dyDescent="0.3">
      <c r="A45" s="7">
        <v>203</v>
      </c>
      <c r="B45" s="7" t="s">
        <v>145</v>
      </c>
      <c r="C45" s="7" t="s">
        <v>146</v>
      </c>
      <c r="D45" s="7" t="s">
        <v>147</v>
      </c>
      <c r="E45" s="7" t="s">
        <v>148</v>
      </c>
      <c r="F45" s="8">
        <v>34492</v>
      </c>
      <c r="G45" s="7">
        <v>8</v>
      </c>
      <c r="H45" s="7">
        <v>6500</v>
      </c>
      <c r="I45" s="7">
        <v>101</v>
      </c>
      <c r="J45" s="7">
        <v>4</v>
      </c>
    </row>
    <row r="46" spans="1:10" ht="14.25" customHeight="1" x14ac:dyDescent="0.3">
      <c r="A46" s="7">
        <v>204</v>
      </c>
      <c r="B46" s="7" t="s">
        <v>149</v>
      </c>
      <c r="C46" s="7" t="s">
        <v>150</v>
      </c>
      <c r="D46" s="7" t="s">
        <v>151</v>
      </c>
      <c r="E46" s="7" t="s">
        <v>152</v>
      </c>
      <c r="F46" s="8">
        <v>34492</v>
      </c>
      <c r="G46" s="7">
        <v>12</v>
      </c>
      <c r="H46" s="7">
        <v>10000</v>
      </c>
      <c r="I46" s="7">
        <v>101</v>
      </c>
      <c r="J46" s="7">
        <v>7</v>
      </c>
    </row>
    <row r="47" spans="1:10" ht="14.25" customHeight="1" x14ac:dyDescent="0.3">
      <c r="A47" s="7">
        <v>205</v>
      </c>
      <c r="B47" s="7" t="s">
        <v>153</v>
      </c>
      <c r="C47" s="7" t="s">
        <v>154</v>
      </c>
      <c r="D47" s="7" t="s">
        <v>155</v>
      </c>
      <c r="E47" s="7" t="s">
        <v>156</v>
      </c>
      <c r="F47" s="8">
        <v>34492</v>
      </c>
      <c r="G47" s="7">
        <v>2</v>
      </c>
      <c r="H47" s="7">
        <v>12000</v>
      </c>
      <c r="I47" s="7">
        <v>101</v>
      </c>
      <c r="J47" s="7">
        <v>11</v>
      </c>
    </row>
    <row r="48" spans="1:10" ht="14.25" customHeight="1" x14ac:dyDescent="0.3">
      <c r="A48" s="7">
        <v>206</v>
      </c>
      <c r="B48" s="7" t="s">
        <v>157</v>
      </c>
      <c r="C48" s="7" t="s">
        <v>158</v>
      </c>
      <c r="D48" s="7" t="s">
        <v>159</v>
      </c>
      <c r="E48" s="7" t="s">
        <v>160</v>
      </c>
      <c r="F48" s="8">
        <v>34492</v>
      </c>
      <c r="G48" s="7">
        <v>1</v>
      </c>
      <c r="H48" s="7">
        <v>8300</v>
      </c>
      <c r="I48" s="7">
        <v>205</v>
      </c>
      <c r="J48" s="7">
        <v>11</v>
      </c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</sheetData>
  <conditionalFormatting sqref="A9:J48">
    <cfRule type="expression" dxfId="50" priority="1">
      <formula>AND($F9&gt;=$M$10,$F9&lt;=$M$9)</formula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D2AE-C536-48D2-8AE0-30455380AD21}">
  <sheetPr codeName="Sheet6"/>
  <dimension ref="A1:Z1006"/>
  <sheetViews>
    <sheetView workbookViewId="0">
      <selection activeCell="D4" sqref="D4"/>
    </sheetView>
  </sheetViews>
  <sheetFormatPr defaultColWidth="12.6640625" defaultRowHeight="15" customHeight="1" x14ac:dyDescent="0.3"/>
  <cols>
    <col min="1" max="1" width="11.6640625" bestFit="1" customWidth="1"/>
    <col min="2" max="3" width="10.77734375" bestFit="1" customWidth="1"/>
    <col min="4" max="4" width="29.88671875" customWidth="1"/>
    <col min="5" max="5" width="13.44140625" bestFit="1" customWidth="1"/>
    <col min="6" max="6" width="10.33203125" bestFit="1" customWidth="1"/>
    <col min="7" max="7" width="6.109375" bestFit="1" customWidth="1"/>
    <col min="8" max="8" width="8.6640625" customWidth="1"/>
    <col min="9" max="9" width="10.6640625" bestFit="1" customWidth="1"/>
    <col min="10" max="10" width="13.44140625" bestFit="1" customWidth="1"/>
    <col min="11" max="13" width="8.6640625" customWidth="1"/>
    <col min="14" max="14" width="12.5546875" bestFit="1" customWidth="1"/>
    <col min="15" max="15" width="15.88671875" bestFit="1" customWidth="1"/>
    <col min="16" max="16" width="9.6640625" bestFit="1" customWidth="1"/>
    <col min="17" max="26" width="8.6640625" customWidth="1"/>
  </cols>
  <sheetData>
    <row r="1" spans="1:26" s="9" customFormat="1" ht="15" customHeight="1" x14ac:dyDescent="0.3"/>
    <row r="2" spans="1:26" ht="15" customHeight="1" x14ac:dyDescent="0.35">
      <c r="C2" s="5" t="s">
        <v>164</v>
      </c>
    </row>
    <row r="4" spans="1:26" ht="15" customHeight="1" x14ac:dyDescent="0.35">
      <c r="D4" s="5" t="s">
        <v>178</v>
      </c>
    </row>
    <row r="7" spans="1:26" ht="14.25" customHeight="1" x14ac:dyDescent="0.3">
      <c r="A7" s="12" t="s">
        <v>0</v>
      </c>
      <c r="B7" s="12" t="s">
        <v>1</v>
      </c>
      <c r="C7" s="12" t="s">
        <v>2</v>
      </c>
      <c r="D7" s="12" t="s">
        <v>3</v>
      </c>
      <c r="E7" s="12" t="s">
        <v>4</v>
      </c>
      <c r="F7" s="12" t="s">
        <v>5</v>
      </c>
      <c r="G7" s="12" t="s">
        <v>6</v>
      </c>
      <c r="H7" s="12" t="s">
        <v>7</v>
      </c>
      <c r="I7" s="12" t="s">
        <v>8</v>
      </c>
      <c r="J7" s="12" t="s">
        <v>9</v>
      </c>
      <c r="K7" s="1"/>
      <c r="L7" s="1"/>
      <c r="M7" s="1"/>
      <c r="N7" s="13" t="s">
        <v>9</v>
      </c>
      <c r="O7" s="13" t="s">
        <v>165</v>
      </c>
      <c r="P7" s="13" t="s">
        <v>166</v>
      </c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7">
        <v>100</v>
      </c>
      <c r="B8" s="7" t="s">
        <v>10</v>
      </c>
      <c r="C8" s="7" t="s">
        <v>11</v>
      </c>
      <c r="D8" s="7" t="s">
        <v>12</v>
      </c>
      <c r="E8" s="7" t="s">
        <v>13</v>
      </c>
      <c r="F8" s="8">
        <v>31945</v>
      </c>
      <c r="G8" s="7">
        <v>4</v>
      </c>
      <c r="H8" s="7">
        <v>24000</v>
      </c>
      <c r="I8" s="9"/>
      <c r="J8" s="7">
        <v>9</v>
      </c>
      <c r="N8" s="14">
        <v>1</v>
      </c>
      <c r="O8" s="14" t="s">
        <v>167</v>
      </c>
      <c r="P8" s="14">
        <v>1700</v>
      </c>
    </row>
    <row r="9" spans="1:26" ht="14.25" customHeight="1" x14ac:dyDescent="0.3">
      <c r="A9" s="7">
        <v>101</v>
      </c>
      <c r="B9" s="7" t="s">
        <v>14</v>
      </c>
      <c r="C9" s="7" t="s">
        <v>15</v>
      </c>
      <c r="D9" s="7" t="s">
        <v>16</v>
      </c>
      <c r="E9" s="7" t="s">
        <v>17</v>
      </c>
      <c r="F9" s="8">
        <v>32772</v>
      </c>
      <c r="G9" s="7">
        <v>5</v>
      </c>
      <c r="H9" s="7">
        <v>17000</v>
      </c>
      <c r="I9" s="7">
        <v>100</v>
      </c>
      <c r="J9" s="7">
        <v>9</v>
      </c>
      <c r="N9" s="14">
        <v>2</v>
      </c>
      <c r="O9" s="14" t="s">
        <v>168</v>
      </c>
      <c r="P9" s="14">
        <v>1800</v>
      </c>
    </row>
    <row r="10" spans="1:26" ht="14.25" customHeight="1" x14ac:dyDescent="0.3">
      <c r="A10" s="7">
        <v>102</v>
      </c>
      <c r="B10" s="7" t="s">
        <v>18</v>
      </c>
      <c r="C10" s="7" t="s">
        <v>19</v>
      </c>
      <c r="D10" s="7" t="s">
        <v>20</v>
      </c>
      <c r="E10" s="7" t="s">
        <v>21</v>
      </c>
      <c r="F10" s="8">
        <v>33982</v>
      </c>
      <c r="G10" s="7">
        <v>5</v>
      </c>
      <c r="H10" s="7">
        <v>17000</v>
      </c>
      <c r="I10" s="7">
        <v>100</v>
      </c>
      <c r="J10" s="7">
        <v>9</v>
      </c>
      <c r="N10" s="14">
        <v>3</v>
      </c>
      <c r="O10" s="14" t="s">
        <v>169</v>
      </c>
      <c r="P10" s="14">
        <v>1700</v>
      </c>
    </row>
    <row r="11" spans="1:26" ht="14.25" customHeight="1" x14ac:dyDescent="0.3">
      <c r="A11" s="7">
        <v>103</v>
      </c>
      <c r="B11" s="7" t="s">
        <v>22</v>
      </c>
      <c r="C11" s="7" t="s">
        <v>23</v>
      </c>
      <c r="D11" s="7" t="s">
        <v>24</v>
      </c>
      <c r="E11" s="7" t="s">
        <v>25</v>
      </c>
      <c r="F11" s="8">
        <v>32876</v>
      </c>
      <c r="G11" s="7">
        <v>9</v>
      </c>
      <c r="H11" s="7">
        <v>9000</v>
      </c>
      <c r="I11" s="7">
        <v>102</v>
      </c>
      <c r="J11" s="7">
        <v>6</v>
      </c>
      <c r="N11" s="14">
        <v>4</v>
      </c>
      <c r="O11" s="14" t="s">
        <v>170</v>
      </c>
      <c r="P11" s="14">
        <v>2400</v>
      </c>
    </row>
    <row r="12" spans="1:26" ht="14.25" customHeight="1" x14ac:dyDescent="0.3">
      <c r="A12" s="7">
        <v>104</v>
      </c>
      <c r="B12" s="7" t="s">
        <v>26</v>
      </c>
      <c r="C12" s="7" t="s">
        <v>27</v>
      </c>
      <c r="D12" s="7" t="s">
        <v>28</v>
      </c>
      <c r="E12" s="7" t="s">
        <v>29</v>
      </c>
      <c r="F12" s="8">
        <v>33379</v>
      </c>
      <c r="G12" s="7">
        <v>9</v>
      </c>
      <c r="H12" s="7">
        <v>6000</v>
      </c>
      <c r="I12" s="7">
        <v>103</v>
      </c>
      <c r="J12" s="7">
        <v>6</v>
      </c>
      <c r="N12" s="14">
        <v>5</v>
      </c>
      <c r="O12" s="14" t="s">
        <v>171</v>
      </c>
      <c r="P12" s="14">
        <v>1500</v>
      </c>
    </row>
    <row r="13" spans="1:26" ht="14.25" customHeight="1" x14ac:dyDescent="0.3">
      <c r="A13" s="7">
        <v>105</v>
      </c>
      <c r="B13" s="7" t="s">
        <v>30</v>
      </c>
      <c r="C13" s="7" t="s">
        <v>31</v>
      </c>
      <c r="D13" s="7" t="s">
        <v>32</v>
      </c>
      <c r="E13" s="7" t="s">
        <v>33</v>
      </c>
      <c r="F13" s="8">
        <v>35606</v>
      </c>
      <c r="G13" s="7">
        <v>9</v>
      </c>
      <c r="H13" s="7">
        <v>4800</v>
      </c>
      <c r="I13" s="7">
        <v>103</v>
      </c>
      <c r="J13" s="7">
        <v>6</v>
      </c>
      <c r="N13" s="14">
        <v>6</v>
      </c>
      <c r="O13" s="14" t="s">
        <v>172</v>
      </c>
      <c r="P13" s="14">
        <v>1400</v>
      </c>
    </row>
    <row r="14" spans="1:26" ht="14.25" customHeight="1" x14ac:dyDescent="0.3">
      <c r="A14" s="7">
        <v>106</v>
      </c>
      <c r="B14" s="7" t="s">
        <v>34</v>
      </c>
      <c r="C14" s="7" t="s">
        <v>35</v>
      </c>
      <c r="D14" s="7" t="s">
        <v>36</v>
      </c>
      <c r="E14" s="7" t="s">
        <v>37</v>
      </c>
      <c r="F14" s="8">
        <v>35831</v>
      </c>
      <c r="G14" s="7">
        <v>9</v>
      </c>
      <c r="H14" s="7">
        <v>4800</v>
      </c>
      <c r="I14" s="7">
        <v>103</v>
      </c>
      <c r="J14" s="7">
        <v>6</v>
      </c>
      <c r="N14" s="14">
        <v>7</v>
      </c>
      <c r="O14" s="14" t="s">
        <v>173</v>
      </c>
      <c r="P14" s="14">
        <v>2700</v>
      </c>
    </row>
    <row r="15" spans="1:26" ht="14.25" customHeight="1" x14ac:dyDescent="0.3">
      <c r="A15" s="7">
        <v>107</v>
      </c>
      <c r="B15" s="7" t="s">
        <v>38</v>
      </c>
      <c r="C15" s="7" t="s">
        <v>39</v>
      </c>
      <c r="D15" s="7" t="s">
        <v>40</v>
      </c>
      <c r="E15" s="7" t="s">
        <v>41</v>
      </c>
      <c r="F15" s="8">
        <v>36198</v>
      </c>
      <c r="G15" s="7">
        <v>9</v>
      </c>
      <c r="H15" s="7">
        <v>4200</v>
      </c>
      <c r="I15" s="7">
        <v>103</v>
      </c>
      <c r="J15" s="7">
        <v>6</v>
      </c>
      <c r="N15" s="14">
        <v>8</v>
      </c>
      <c r="O15" s="14" t="s">
        <v>174</v>
      </c>
      <c r="P15" s="14">
        <v>2500</v>
      </c>
    </row>
    <row r="16" spans="1:26" ht="14.25" customHeight="1" x14ac:dyDescent="0.3">
      <c r="A16" s="7">
        <v>108</v>
      </c>
      <c r="B16" s="7" t="s">
        <v>42</v>
      </c>
      <c r="C16" s="7" t="s">
        <v>43</v>
      </c>
      <c r="D16" s="7" t="s">
        <v>44</v>
      </c>
      <c r="E16" s="7" t="s">
        <v>45</v>
      </c>
      <c r="F16" s="8">
        <v>34563</v>
      </c>
      <c r="G16" s="7">
        <v>7</v>
      </c>
      <c r="H16" s="7">
        <v>12000</v>
      </c>
      <c r="I16" s="7">
        <v>101</v>
      </c>
      <c r="J16" s="7">
        <v>10</v>
      </c>
      <c r="N16" s="14">
        <v>9</v>
      </c>
      <c r="O16" s="14" t="s">
        <v>175</v>
      </c>
      <c r="P16" s="14">
        <v>1700</v>
      </c>
    </row>
    <row r="17" spans="1:16" ht="14.25" customHeight="1" x14ac:dyDescent="0.3">
      <c r="A17" s="7">
        <v>109</v>
      </c>
      <c r="B17" s="7" t="s">
        <v>46</v>
      </c>
      <c r="C17" s="7" t="s">
        <v>47</v>
      </c>
      <c r="D17" s="7" t="s">
        <v>48</v>
      </c>
      <c r="E17" s="7" t="s">
        <v>49</v>
      </c>
      <c r="F17" s="8">
        <v>34562</v>
      </c>
      <c r="G17" s="7">
        <v>6</v>
      </c>
      <c r="H17" s="7">
        <v>9000</v>
      </c>
      <c r="I17" s="7">
        <v>108</v>
      </c>
      <c r="J17" s="7">
        <v>10</v>
      </c>
      <c r="N17" s="14">
        <v>10</v>
      </c>
      <c r="O17" s="14" t="s">
        <v>176</v>
      </c>
      <c r="P17" s="14">
        <v>1700</v>
      </c>
    </row>
    <row r="18" spans="1:16" ht="14.25" customHeight="1" x14ac:dyDescent="0.3">
      <c r="A18" s="7">
        <v>110</v>
      </c>
      <c r="B18" s="7" t="s">
        <v>50</v>
      </c>
      <c r="C18" s="7" t="s">
        <v>51</v>
      </c>
      <c r="D18" s="7" t="s">
        <v>52</v>
      </c>
      <c r="E18" s="7" t="s">
        <v>53</v>
      </c>
      <c r="F18" s="8">
        <v>35701</v>
      </c>
      <c r="G18" s="7">
        <v>6</v>
      </c>
      <c r="H18" s="7">
        <v>8200</v>
      </c>
      <c r="I18" s="7">
        <v>108</v>
      </c>
      <c r="J18" s="7">
        <v>10</v>
      </c>
      <c r="N18" s="14">
        <v>11</v>
      </c>
      <c r="O18" s="14" t="s">
        <v>177</v>
      </c>
      <c r="P18" s="14">
        <v>1700</v>
      </c>
    </row>
    <row r="19" spans="1:16" ht="14.25" customHeight="1" x14ac:dyDescent="0.3">
      <c r="A19" s="7">
        <v>111</v>
      </c>
      <c r="B19" s="7" t="s">
        <v>54</v>
      </c>
      <c r="C19" s="7" t="s">
        <v>55</v>
      </c>
      <c r="D19" s="7" t="s">
        <v>56</v>
      </c>
      <c r="E19" s="7" t="s">
        <v>57</v>
      </c>
      <c r="F19" s="8">
        <v>35703</v>
      </c>
      <c r="G19" s="7">
        <v>6</v>
      </c>
      <c r="H19" s="7">
        <v>7700</v>
      </c>
      <c r="I19" s="7">
        <v>108</v>
      </c>
      <c r="J19" s="7">
        <v>10</v>
      </c>
    </row>
    <row r="20" spans="1:16" ht="14.25" customHeight="1" x14ac:dyDescent="0.3">
      <c r="A20" s="7">
        <v>112</v>
      </c>
      <c r="B20" s="7" t="s">
        <v>58</v>
      </c>
      <c r="C20" s="7" t="s">
        <v>59</v>
      </c>
      <c r="D20" s="7" t="s">
        <v>60</v>
      </c>
      <c r="E20" s="7" t="s">
        <v>61</v>
      </c>
      <c r="F20" s="8">
        <v>35861</v>
      </c>
      <c r="G20" s="7">
        <v>6</v>
      </c>
      <c r="H20" s="7">
        <v>7800</v>
      </c>
      <c r="I20" s="7">
        <v>108</v>
      </c>
      <c r="J20" s="7">
        <v>10</v>
      </c>
    </row>
    <row r="21" spans="1:16" ht="14.25" customHeight="1" x14ac:dyDescent="0.3">
      <c r="A21" s="7">
        <v>113</v>
      </c>
      <c r="B21" s="7" t="s">
        <v>62</v>
      </c>
      <c r="C21" s="7" t="s">
        <v>63</v>
      </c>
      <c r="D21" s="7" t="s">
        <v>64</v>
      </c>
      <c r="E21" s="7" t="s">
        <v>65</v>
      </c>
      <c r="F21" s="8">
        <v>36501</v>
      </c>
      <c r="G21" s="7">
        <v>6</v>
      </c>
      <c r="H21" s="7">
        <v>6900</v>
      </c>
      <c r="I21" s="7">
        <v>108</v>
      </c>
      <c r="J21" s="7">
        <v>10</v>
      </c>
    </row>
    <row r="22" spans="1:16" ht="14.25" customHeight="1" x14ac:dyDescent="0.3">
      <c r="A22" s="7">
        <v>114</v>
      </c>
      <c r="B22" s="7" t="s">
        <v>66</v>
      </c>
      <c r="C22" s="7" t="s">
        <v>67</v>
      </c>
      <c r="D22" s="7" t="s">
        <v>68</v>
      </c>
      <c r="E22" s="7" t="s">
        <v>69</v>
      </c>
      <c r="F22" s="8">
        <v>34675</v>
      </c>
      <c r="G22" s="7">
        <v>14</v>
      </c>
      <c r="H22" s="7">
        <v>11000</v>
      </c>
      <c r="I22" s="7">
        <v>100</v>
      </c>
      <c r="J22" s="7">
        <v>3</v>
      </c>
    </row>
    <row r="23" spans="1:16" ht="14.25" customHeight="1" x14ac:dyDescent="0.3">
      <c r="A23" s="7">
        <v>115</v>
      </c>
      <c r="B23" s="7" t="s">
        <v>22</v>
      </c>
      <c r="C23" s="7" t="s">
        <v>70</v>
      </c>
      <c r="D23" s="7" t="s">
        <v>71</v>
      </c>
      <c r="E23" s="7" t="s">
        <v>72</v>
      </c>
      <c r="F23" s="8">
        <v>34837</v>
      </c>
      <c r="G23" s="7">
        <v>13</v>
      </c>
      <c r="H23" s="7">
        <v>3100</v>
      </c>
      <c r="I23" s="7">
        <v>114</v>
      </c>
      <c r="J23" s="7">
        <v>3</v>
      </c>
    </row>
    <row r="24" spans="1:16" ht="14.25" customHeight="1" x14ac:dyDescent="0.3">
      <c r="A24" s="7">
        <v>116</v>
      </c>
      <c r="B24" s="7" t="s">
        <v>73</v>
      </c>
      <c r="C24" s="7" t="s">
        <v>74</v>
      </c>
      <c r="D24" s="7" t="s">
        <v>75</v>
      </c>
      <c r="E24" s="7" t="s">
        <v>76</v>
      </c>
      <c r="F24" s="8">
        <v>35788</v>
      </c>
      <c r="G24" s="7">
        <v>13</v>
      </c>
      <c r="H24" s="7">
        <v>2900</v>
      </c>
      <c r="I24" s="7">
        <v>114</v>
      </c>
      <c r="J24" s="7">
        <v>3</v>
      </c>
    </row>
    <row r="25" spans="1:16" ht="14.25" customHeight="1" x14ac:dyDescent="0.3">
      <c r="A25" s="7">
        <v>117</v>
      </c>
      <c r="B25" s="7" t="s">
        <v>77</v>
      </c>
      <c r="C25" s="7" t="s">
        <v>78</v>
      </c>
      <c r="D25" s="7" t="s">
        <v>79</v>
      </c>
      <c r="E25" s="7" t="s">
        <v>80</v>
      </c>
      <c r="F25" s="8">
        <v>35635</v>
      </c>
      <c r="G25" s="7">
        <v>13</v>
      </c>
      <c r="H25" s="7">
        <v>2800</v>
      </c>
      <c r="I25" s="7">
        <v>114</v>
      </c>
      <c r="J25" s="7">
        <v>3</v>
      </c>
    </row>
    <row r="26" spans="1:16" ht="14.25" customHeight="1" x14ac:dyDescent="0.3">
      <c r="A26" s="7">
        <v>118</v>
      </c>
      <c r="B26" s="7" t="s">
        <v>81</v>
      </c>
      <c r="C26" s="7" t="s">
        <v>82</v>
      </c>
      <c r="D26" s="7" t="s">
        <v>83</v>
      </c>
      <c r="E26" s="7" t="s">
        <v>84</v>
      </c>
      <c r="F26" s="8">
        <v>36114</v>
      </c>
      <c r="G26" s="7">
        <v>13</v>
      </c>
      <c r="H26" s="7">
        <v>2600</v>
      </c>
      <c r="I26" s="7">
        <v>114</v>
      </c>
      <c r="J26" s="7">
        <v>3</v>
      </c>
    </row>
    <row r="27" spans="1:16" ht="14.25" customHeight="1" x14ac:dyDescent="0.3">
      <c r="A27" s="7">
        <v>119</v>
      </c>
      <c r="B27" s="7" t="s">
        <v>85</v>
      </c>
      <c r="C27" s="7" t="s">
        <v>86</v>
      </c>
      <c r="D27" s="7" t="s">
        <v>87</v>
      </c>
      <c r="E27" s="7" t="s">
        <v>88</v>
      </c>
      <c r="F27" s="8">
        <v>36382</v>
      </c>
      <c r="G27" s="7">
        <v>13</v>
      </c>
      <c r="H27" s="7">
        <v>2500</v>
      </c>
      <c r="I27" s="7">
        <v>114</v>
      </c>
      <c r="J27" s="7">
        <v>3</v>
      </c>
    </row>
    <row r="28" spans="1:16" ht="14.25" customHeight="1" x14ac:dyDescent="0.3">
      <c r="A28" s="7">
        <v>120</v>
      </c>
      <c r="B28" s="7" t="s">
        <v>89</v>
      </c>
      <c r="C28" s="7" t="s">
        <v>90</v>
      </c>
      <c r="D28" s="7" t="s">
        <v>91</v>
      </c>
      <c r="E28" s="7" t="s">
        <v>92</v>
      </c>
      <c r="F28" s="8">
        <v>35264</v>
      </c>
      <c r="G28" s="7">
        <v>19</v>
      </c>
      <c r="H28" s="7">
        <v>8000</v>
      </c>
      <c r="I28" s="7">
        <v>100</v>
      </c>
      <c r="J28" s="7">
        <v>5</v>
      </c>
    </row>
    <row r="29" spans="1:16" ht="14.25" customHeight="1" x14ac:dyDescent="0.3">
      <c r="A29" s="7">
        <v>121</v>
      </c>
      <c r="B29" s="7" t="s">
        <v>93</v>
      </c>
      <c r="C29" s="7" t="s">
        <v>94</v>
      </c>
      <c r="D29" s="7" t="s">
        <v>95</v>
      </c>
      <c r="E29" s="7" t="s">
        <v>96</v>
      </c>
      <c r="F29" s="8">
        <v>35530</v>
      </c>
      <c r="G29" s="7">
        <v>19</v>
      </c>
      <c r="H29" s="7">
        <v>8200</v>
      </c>
      <c r="I29" s="7">
        <v>100</v>
      </c>
      <c r="J29" s="7">
        <v>5</v>
      </c>
    </row>
    <row r="30" spans="1:16" ht="14.25" customHeight="1" x14ac:dyDescent="0.3">
      <c r="A30" s="7">
        <v>122</v>
      </c>
      <c r="B30" s="7" t="s">
        <v>97</v>
      </c>
      <c r="C30" s="7" t="s">
        <v>98</v>
      </c>
      <c r="D30" s="7" t="s">
        <v>99</v>
      </c>
      <c r="E30" s="7" t="s">
        <v>100</v>
      </c>
      <c r="F30" s="8">
        <v>34820</v>
      </c>
      <c r="G30" s="7">
        <v>19</v>
      </c>
      <c r="H30" s="7">
        <v>7900</v>
      </c>
      <c r="I30" s="7">
        <v>100</v>
      </c>
      <c r="J30" s="7">
        <v>5</v>
      </c>
    </row>
    <row r="31" spans="1:16" ht="14.25" customHeight="1" x14ac:dyDescent="0.3">
      <c r="A31" s="7">
        <v>123</v>
      </c>
      <c r="B31" s="7" t="s">
        <v>101</v>
      </c>
      <c r="C31" s="7" t="s">
        <v>102</v>
      </c>
      <c r="D31" s="7" t="s">
        <v>103</v>
      </c>
      <c r="E31" s="7" t="s">
        <v>104</v>
      </c>
      <c r="F31" s="8">
        <v>35713</v>
      </c>
      <c r="G31" s="7">
        <v>19</v>
      </c>
      <c r="H31" s="7">
        <v>6500</v>
      </c>
      <c r="I31" s="7">
        <v>100</v>
      </c>
      <c r="J31" s="7">
        <v>5</v>
      </c>
    </row>
    <row r="32" spans="1:16" ht="14.25" customHeight="1" x14ac:dyDescent="0.3">
      <c r="A32" s="7">
        <v>126</v>
      </c>
      <c r="B32" s="7" t="s">
        <v>105</v>
      </c>
      <c r="C32" s="7" t="s">
        <v>106</v>
      </c>
      <c r="D32" s="7" t="s">
        <v>107</v>
      </c>
      <c r="E32" s="7" t="s">
        <v>108</v>
      </c>
      <c r="F32" s="8">
        <v>36066</v>
      </c>
      <c r="G32" s="7">
        <v>18</v>
      </c>
      <c r="H32" s="7">
        <v>2700</v>
      </c>
      <c r="I32" s="7">
        <v>120</v>
      </c>
      <c r="J32" s="7">
        <v>5</v>
      </c>
    </row>
    <row r="33" spans="1:10" ht="14.25" customHeight="1" x14ac:dyDescent="0.3">
      <c r="A33" s="7">
        <v>145</v>
      </c>
      <c r="B33" s="7" t="s">
        <v>50</v>
      </c>
      <c r="C33" s="7" t="s">
        <v>109</v>
      </c>
      <c r="D33" s="7" t="s">
        <v>110</v>
      </c>
      <c r="E33" s="9"/>
      <c r="F33" s="8">
        <v>35339</v>
      </c>
      <c r="G33" s="7">
        <v>15</v>
      </c>
      <c r="H33" s="7">
        <v>14000</v>
      </c>
      <c r="I33" s="7">
        <v>100</v>
      </c>
      <c r="J33" s="7">
        <v>8</v>
      </c>
    </row>
    <row r="34" spans="1:10" ht="14.25" customHeight="1" x14ac:dyDescent="0.3">
      <c r="A34" s="7">
        <v>146</v>
      </c>
      <c r="B34" s="7" t="s">
        <v>85</v>
      </c>
      <c r="C34" s="7" t="s">
        <v>111</v>
      </c>
      <c r="D34" s="7" t="s">
        <v>112</v>
      </c>
      <c r="E34" s="9"/>
      <c r="F34" s="8">
        <v>35435</v>
      </c>
      <c r="G34" s="7">
        <v>15</v>
      </c>
      <c r="H34" s="7">
        <v>13500</v>
      </c>
      <c r="I34" s="7">
        <v>100</v>
      </c>
      <c r="J34" s="7">
        <v>8</v>
      </c>
    </row>
    <row r="35" spans="1:10" ht="14.25" customHeight="1" x14ac:dyDescent="0.3">
      <c r="A35" s="7">
        <v>176</v>
      </c>
      <c r="B35" s="7" t="s">
        <v>113</v>
      </c>
      <c r="C35" s="7" t="s">
        <v>114</v>
      </c>
      <c r="D35" s="7" t="s">
        <v>115</v>
      </c>
      <c r="E35" s="9"/>
      <c r="F35" s="8">
        <v>35878</v>
      </c>
      <c r="G35" s="7">
        <v>16</v>
      </c>
      <c r="H35" s="7">
        <v>8600</v>
      </c>
      <c r="I35" s="7">
        <v>100</v>
      </c>
      <c r="J35" s="7">
        <v>8</v>
      </c>
    </row>
    <row r="36" spans="1:10" ht="14.25" customHeight="1" x14ac:dyDescent="0.3">
      <c r="A36" s="7">
        <v>177</v>
      </c>
      <c r="B36" s="7" t="s">
        <v>116</v>
      </c>
      <c r="C36" s="7" t="s">
        <v>117</v>
      </c>
      <c r="D36" s="7" t="s">
        <v>118</v>
      </c>
      <c r="E36" s="9"/>
      <c r="F36" s="8">
        <v>35908</v>
      </c>
      <c r="G36" s="7">
        <v>16</v>
      </c>
      <c r="H36" s="7">
        <v>8400</v>
      </c>
      <c r="I36" s="7">
        <v>100</v>
      </c>
      <c r="J36" s="7">
        <v>8</v>
      </c>
    </row>
    <row r="37" spans="1:10" ht="14.25" customHeight="1" x14ac:dyDescent="0.3">
      <c r="A37" s="7">
        <v>178</v>
      </c>
      <c r="B37" s="7" t="s">
        <v>119</v>
      </c>
      <c r="C37" s="7" t="s">
        <v>120</v>
      </c>
      <c r="D37" s="7" t="s">
        <v>121</v>
      </c>
      <c r="E37" s="9"/>
      <c r="F37" s="8">
        <v>36304</v>
      </c>
      <c r="G37" s="7">
        <v>16</v>
      </c>
      <c r="H37" s="7">
        <v>7000</v>
      </c>
      <c r="I37" s="7">
        <v>100</v>
      </c>
      <c r="J37" s="7">
        <v>8</v>
      </c>
    </row>
    <row r="38" spans="1:10" ht="14.25" customHeight="1" x14ac:dyDescent="0.3">
      <c r="A38" s="7">
        <v>179</v>
      </c>
      <c r="B38" s="7" t="s">
        <v>122</v>
      </c>
      <c r="C38" s="7" t="s">
        <v>123</v>
      </c>
      <c r="D38" s="7" t="s">
        <v>124</v>
      </c>
      <c r="E38" s="9"/>
      <c r="F38" s="8">
        <v>36529</v>
      </c>
      <c r="G38" s="7">
        <v>16</v>
      </c>
      <c r="H38" s="7">
        <v>6200</v>
      </c>
      <c r="I38" s="7">
        <v>100</v>
      </c>
      <c r="J38" s="7">
        <v>8</v>
      </c>
    </row>
    <row r="39" spans="1:10" ht="14.25" customHeight="1" x14ac:dyDescent="0.3">
      <c r="A39" s="7">
        <v>192</v>
      </c>
      <c r="B39" s="7" t="s">
        <v>125</v>
      </c>
      <c r="C39" s="7" t="s">
        <v>126</v>
      </c>
      <c r="D39" s="7" t="s">
        <v>127</v>
      </c>
      <c r="E39" s="7" t="s">
        <v>128</v>
      </c>
      <c r="F39" s="8">
        <v>35099</v>
      </c>
      <c r="G39" s="7">
        <v>17</v>
      </c>
      <c r="H39" s="7">
        <v>4000</v>
      </c>
      <c r="I39" s="7">
        <v>123</v>
      </c>
      <c r="J39" s="7">
        <v>5</v>
      </c>
    </row>
    <row r="40" spans="1:10" ht="14.25" customHeight="1" x14ac:dyDescent="0.3">
      <c r="A40" s="7">
        <v>193</v>
      </c>
      <c r="B40" s="7" t="s">
        <v>129</v>
      </c>
      <c r="C40" s="7" t="s">
        <v>130</v>
      </c>
      <c r="D40" s="7" t="s">
        <v>131</v>
      </c>
      <c r="E40" s="7" t="s">
        <v>132</v>
      </c>
      <c r="F40" s="8">
        <v>35492</v>
      </c>
      <c r="G40" s="7">
        <v>17</v>
      </c>
      <c r="H40" s="7">
        <v>3900</v>
      </c>
      <c r="I40" s="7">
        <v>123</v>
      </c>
      <c r="J40" s="7">
        <v>5</v>
      </c>
    </row>
    <row r="41" spans="1:10" ht="14.25" customHeight="1" x14ac:dyDescent="0.3">
      <c r="A41" s="7">
        <v>200</v>
      </c>
      <c r="B41" s="7" t="s">
        <v>133</v>
      </c>
      <c r="C41" s="7" t="s">
        <v>134</v>
      </c>
      <c r="D41" s="7" t="s">
        <v>135</v>
      </c>
      <c r="E41" s="7" t="s">
        <v>136</v>
      </c>
      <c r="F41" s="8">
        <v>32037</v>
      </c>
      <c r="G41" s="7">
        <v>3</v>
      </c>
      <c r="H41" s="7">
        <v>4400</v>
      </c>
      <c r="I41" s="7">
        <v>101</v>
      </c>
      <c r="J41" s="7">
        <v>1</v>
      </c>
    </row>
    <row r="42" spans="1:10" ht="14.25" customHeight="1" x14ac:dyDescent="0.3">
      <c r="A42" s="7">
        <v>201</v>
      </c>
      <c r="B42" s="7" t="s">
        <v>137</v>
      </c>
      <c r="C42" s="7" t="s">
        <v>138</v>
      </c>
      <c r="D42" s="7" t="s">
        <v>139</v>
      </c>
      <c r="E42" s="7" t="s">
        <v>140</v>
      </c>
      <c r="F42" s="8">
        <v>35112</v>
      </c>
      <c r="G42" s="7">
        <v>10</v>
      </c>
      <c r="H42" s="7">
        <v>13000</v>
      </c>
      <c r="I42" s="7">
        <v>100</v>
      </c>
      <c r="J42" s="7">
        <v>2</v>
      </c>
    </row>
    <row r="43" spans="1:10" ht="14.25" customHeight="1" x14ac:dyDescent="0.3">
      <c r="A43" s="7">
        <v>202</v>
      </c>
      <c r="B43" s="7" t="s">
        <v>141</v>
      </c>
      <c r="C43" s="7" t="s">
        <v>142</v>
      </c>
      <c r="D43" s="7" t="s">
        <v>143</v>
      </c>
      <c r="E43" s="7" t="s">
        <v>144</v>
      </c>
      <c r="F43" s="8">
        <v>35659</v>
      </c>
      <c r="G43" s="7">
        <v>11</v>
      </c>
      <c r="H43" s="7">
        <v>6000</v>
      </c>
      <c r="I43" s="7">
        <v>201</v>
      </c>
      <c r="J43" s="7">
        <v>2</v>
      </c>
    </row>
    <row r="44" spans="1:10" ht="14.25" customHeight="1" x14ac:dyDescent="0.3">
      <c r="A44" s="7">
        <v>203</v>
      </c>
      <c r="B44" s="7" t="s">
        <v>145</v>
      </c>
      <c r="C44" s="7" t="s">
        <v>146</v>
      </c>
      <c r="D44" s="7" t="s">
        <v>147</v>
      </c>
      <c r="E44" s="7" t="s">
        <v>148</v>
      </c>
      <c r="F44" s="8">
        <v>34492</v>
      </c>
      <c r="G44" s="7">
        <v>8</v>
      </c>
      <c r="H44" s="7">
        <v>6500</v>
      </c>
      <c r="I44" s="7">
        <v>101</v>
      </c>
      <c r="J44" s="7">
        <v>4</v>
      </c>
    </row>
    <row r="45" spans="1:10" ht="14.25" customHeight="1" x14ac:dyDescent="0.3">
      <c r="A45" s="7">
        <v>204</v>
      </c>
      <c r="B45" s="7" t="s">
        <v>149</v>
      </c>
      <c r="C45" s="7" t="s">
        <v>150</v>
      </c>
      <c r="D45" s="7" t="s">
        <v>151</v>
      </c>
      <c r="E45" s="7" t="s">
        <v>152</v>
      </c>
      <c r="F45" s="8">
        <v>34492</v>
      </c>
      <c r="G45" s="7">
        <v>12</v>
      </c>
      <c r="H45" s="7">
        <v>10000</v>
      </c>
      <c r="I45" s="7">
        <v>101</v>
      </c>
      <c r="J45" s="7">
        <v>7</v>
      </c>
    </row>
    <row r="46" spans="1:10" ht="14.25" customHeight="1" x14ac:dyDescent="0.3">
      <c r="A46" s="7">
        <v>205</v>
      </c>
      <c r="B46" s="7" t="s">
        <v>153</v>
      </c>
      <c r="C46" s="7" t="s">
        <v>154</v>
      </c>
      <c r="D46" s="7" t="s">
        <v>155</v>
      </c>
      <c r="E46" s="7" t="s">
        <v>156</v>
      </c>
      <c r="F46" s="8">
        <v>34492</v>
      </c>
      <c r="G46" s="7">
        <v>2</v>
      </c>
      <c r="H46" s="7">
        <v>12000</v>
      </c>
      <c r="I46" s="7">
        <v>101</v>
      </c>
      <c r="J46" s="7">
        <v>11</v>
      </c>
    </row>
    <row r="47" spans="1:10" ht="14.25" customHeight="1" x14ac:dyDescent="0.3">
      <c r="A47" s="7">
        <v>206</v>
      </c>
      <c r="B47" s="7" t="s">
        <v>157</v>
      </c>
      <c r="C47" s="7" t="s">
        <v>158</v>
      </c>
      <c r="D47" s="7" t="s">
        <v>159</v>
      </c>
      <c r="E47" s="7" t="s">
        <v>160</v>
      </c>
      <c r="F47" s="8">
        <v>34492</v>
      </c>
      <c r="G47" s="7">
        <v>1</v>
      </c>
      <c r="H47" s="7">
        <v>8300</v>
      </c>
      <c r="I47" s="7">
        <v>205</v>
      </c>
      <c r="J47" s="7">
        <v>11</v>
      </c>
    </row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dataValidations count="1">
    <dataValidation type="list" allowBlank="1" showInputMessage="1" showErrorMessage="1" sqref="J8:J86" xr:uid="{0D88F0C7-C04A-4A36-A166-0FDFE1B43210}">
      <formula1>$N$8:$N$18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CF40-A333-4314-BFE4-974DC8152FB1}">
  <sheetPr codeName="Sheet7"/>
  <dimension ref="A1:L1000"/>
  <sheetViews>
    <sheetView workbookViewId="0">
      <selection sqref="A1:L1000"/>
    </sheetView>
  </sheetViews>
  <sheetFormatPr defaultRowHeight="14.4" x14ac:dyDescent="0.3"/>
  <cols>
    <col min="1" max="1" width="13.88671875" bestFit="1" customWidth="1"/>
    <col min="2" max="2" width="12" bestFit="1" customWidth="1"/>
    <col min="3" max="3" width="11.77734375" bestFit="1" customWidth="1"/>
    <col min="4" max="4" width="16.6640625" bestFit="1" customWidth="1"/>
    <col min="5" max="5" width="29.77734375" bestFit="1" customWidth="1"/>
    <col min="6" max="6" width="16.5546875" bestFit="1" customWidth="1"/>
    <col min="7" max="7" width="15.6640625" bestFit="1" customWidth="1"/>
    <col min="8" max="8" width="11" bestFit="1" customWidth="1"/>
    <col min="9" max="9" width="8.33203125" bestFit="1" customWidth="1"/>
    <col min="10" max="10" width="8.21875" bestFit="1" customWidth="1"/>
    <col min="11" max="11" width="12.886718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179</v>
      </c>
      <c r="E1" t="s">
        <v>3</v>
      </c>
      <c r="F1" t="s">
        <v>180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>
        <v>100</v>
      </c>
      <c r="B2" t="s">
        <v>10</v>
      </c>
      <c r="C2" t="s">
        <v>11</v>
      </c>
      <c r="D2" t="s">
        <v>181</v>
      </c>
      <c r="E2" t="s">
        <v>12</v>
      </c>
      <c r="F2" t="s">
        <v>182</v>
      </c>
      <c r="G2" t="s">
        <v>183</v>
      </c>
      <c r="H2" s="16">
        <v>31945</v>
      </c>
      <c r="I2">
        <v>4</v>
      </c>
      <c r="J2">
        <v>24000</v>
      </c>
      <c r="L2">
        <v>9</v>
      </c>
    </row>
    <row r="3" spans="1:12" x14ac:dyDescent="0.3">
      <c r="A3">
        <v>101</v>
      </c>
      <c r="B3" t="s">
        <v>14</v>
      </c>
      <c r="C3" t="s">
        <v>15</v>
      </c>
      <c r="D3" t="s">
        <v>184</v>
      </c>
      <c r="E3" t="s">
        <v>16</v>
      </c>
      <c r="F3" t="s">
        <v>185</v>
      </c>
      <c r="G3" t="s">
        <v>186</v>
      </c>
      <c r="H3" s="16">
        <v>32772</v>
      </c>
      <c r="I3">
        <v>5</v>
      </c>
      <c r="J3">
        <v>17000</v>
      </c>
      <c r="K3">
        <v>100</v>
      </c>
      <c r="L3">
        <v>9</v>
      </c>
    </row>
    <row r="4" spans="1:12" x14ac:dyDescent="0.3">
      <c r="A4">
        <v>102</v>
      </c>
      <c r="B4" t="s">
        <v>18</v>
      </c>
      <c r="C4" t="s">
        <v>19</v>
      </c>
      <c r="D4" t="s">
        <v>187</v>
      </c>
      <c r="E4" t="s">
        <v>20</v>
      </c>
      <c r="F4" t="s">
        <v>188</v>
      </c>
      <c r="G4" t="s">
        <v>189</v>
      </c>
      <c r="H4" s="16">
        <v>33982</v>
      </c>
      <c r="I4">
        <v>5</v>
      </c>
      <c r="J4">
        <v>17000</v>
      </c>
      <c r="K4">
        <v>100</v>
      </c>
      <c r="L4">
        <v>9</v>
      </c>
    </row>
    <row r="5" spans="1:12" x14ac:dyDescent="0.3">
      <c r="A5">
        <v>103</v>
      </c>
      <c r="B5" t="s">
        <v>22</v>
      </c>
      <c r="C5" t="s">
        <v>23</v>
      </c>
      <c r="D5" t="s">
        <v>190</v>
      </c>
      <c r="E5" t="s">
        <v>24</v>
      </c>
      <c r="F5" t="s">
        <v>191</v>
      </c>
      <c r="G5" t="s">
        <v>192</v>
      </c>
      <c r="H5" s="16">
        <v>32876</v>
      </c>
      <c r="I5">
        <v>9</v>
      </c>
      <c r="J5">
        <v>9000</v>
      </c>
      <c r="K5">
        <v>102</v>
      </c>
      <c r="L5">
        <v>6</v>
      </c>
    </row>
    <row r="6" spans="1:12" x14ac:dyDescent="0.3">
      <c r="A6">
        <v>104</v>
      </c>
      <c r="B6" t="s">
        <v>26</v>
      </c>
      <c r="C6" t="s">
        <v>27</v>
      </c>
      <c r="D6" t="s">
        <v>193</v>
      </c>
      <c r="E6" t="s">
        <v>28</v>
      </c>
      <c r="F6" t="s">
        <v>194</v>
      </c>
      <c r="G6" t="s">
        <v>195</v>
      </c>
      <c r="H6" s="16">
        <v>33379</v>
      </c>
      <c r="I6">
        <v>9</v>
      </c>
      <c r="J6">
        <v>6000</v>
      </c>
      <c r="K6">
        <v>103</v>
      </c>
      <c r="L6">
        <v>6</v>
      </c>
    </row>
    <row r="7" spans="1:12" x14ac:dyDescent="0.3">
      <c r="A7">
        <v>105</v>
      </c>
      <c r="B7" t="s">
        <v>30</v>
      </c>
      <c r="C7" t="s">
        <v>31</v>
      </c>
      <c r="D7" t="s">
        <v>196</v>
      </c>
      <c r="E7" t="s">
        <v>32</v>
      </c>
      <c r="F7" t="s">
        <v>197</v>
      </c>
      <c r="G7" t="s">
        <v>198</v>
      </c>
      <c r="H7" s="16">
        <v>35606</v>
      </c>
      <c r="I7">
        <v>9</v>
      </c>
      <c r="J7">
        <v>4800</v>
      </c>
      <c r="K7">
        <v>103</v>
      </c>
      <c r="L7">
        <v>6</v>
      </c>
    </row>
    <row r="8" spans="1:12" x14ac:dyDescent="0.3">
      <c r="A8">
        <v>106</v>
      </c>
      <c r="B8" t="s">
        <v>34</v>
      </c>
      <c r="C8" t="s">
        <v>35</v>
      </c>
      <c r="D8" t="s">
        <v>199</v>
      </c>
      <c r="E8" t="s">
        <v>36</v>
      </c>
      <c r="F8" t="s">
        <v>200</v>
      </c>
      <c r="G8" t="s">
        <v>201</v>
      </c>
      <c r="H8" s="16">
        <v>35831</v>
      </c>
      <c r="I8">
        <v>9</v>
      </c>
      <c r="J8">
        <v>4800</v>
      </c>
      <c r="K8">
        <v>103</v>
      </c>
      <c r="L8">
        <v>6</v>
      </c>
    </row>
    <row r="9" spans="1:12" x14ac:dyDescent="0.3">
      <c r="A9">
        <v>107</v>
      </c>
      <c r="B9" t="s">
        <v>38</v>
      </c>
      <c r="C9" t="s">
        <v>39</v>
      </c>
      <c r="D9" t="s">
        <v>202</v>
      </c>
      <c r="E9" t="s">
        <v>40</v>
      </c>
      <c r="F9" t="s">
        <v>203</v>
      </c>
      <c r="G9" t="s">
        <v>204</v>
      </c>
      <c r="H9" s="16">
        <v>36198</v>
      </c>
      <c r="I9">
        <v>9</v>
      </c>
      <c r="J9">
        <v>4200</v>
      </c>
      <c r="K9">
        <v>103</v>
      </c>
      <c r="L9">
        <v>6</v>
      </c>
    </row>
    <row r="10" spans="1:12" x14ac:dyDescent="0.3">
      <c r="A10">
        <v>108</v>
      </c>
      <c r="B10" t="s">
        <v>42</v>
      </c>
      <c r="C10" t="s">
        <v>43</v>
      </c>
      <c r="D10" t="s">
        <v>205</v>
      </c>
      <c r="E10" t="s">
        <v>44</v>
      </c>
      <c r="F10" t="s">
        <v>206</v>
      </c>
      <c r="G10" t="s">
        <v>207</v>
      </c>
      <c r="H10" s="16">
        <v>34563</v>
      </c>
      <c r="I10">
        <v>7</v>
      </c>
      <c r="J10">
        <v>12000</v>
      </c>
      <c r="K10">
        <v>101</v>
      </c>
      <c r="L10">
        <v>10</v>
      </c>
    </row>
    <row r="11" spans="1:12" x14ac:dyDescent="0.3">
      <c r="A11">
        <v>109</v>
      </c>
      <c r="B11" t="s">
        <v>46</v>
      </c>
      <c r="C11" t="s">
        <v>47</v>
      </c>
      <c r="D11" t="s">
        <v>208</v>
      </c>
      <c r="E11" t="s">
        <v>48</v>
      </c>
      <c r="F11" t="s">
        <v>209</v>
      </c>
      <c r="G11" t="s">
        <v>210</v>
      </c>
      <c r="H11" s="16">
        <v>34562</v>
      </c>
      <c r="I11">
        <v>6</v>
      </c>
      <c r="J11">
        <v>9000</v>
      </c>
      <c r="K11">
        <v>108</v>
      </c>
      <c r="L11">
        <v>10</v>
      </c>
    </row>
    <row r="12" spans="1:12" x14ac:dyDescent="0.3">
      <c r="A12">
        <v>110</v>
      </c>
      <c r="B12" t="s">
        <v>50</v>
      </c>
      <c r="C12" t="s">
        <v>51</v>
      </c>
      <c r="D12" t="s">
        <v>211</v>
      </c>
      <c r="E12" t="s">
        <v>52</v>
      </c>
      <c r="F12" t="s">
        <v>212</v>
      </c>
      <c r="G12" t="s">
        <v>213</v>
      </c>
      <c r="H12" s="16">
        <v>35701</v>
      </c>
      <c r="I12">
        <v>6</v>
      </c>
      <c r="J12">
        <v>8200</v>
      </c>
      <c r="K12">
        <v>108</v>
      </c>
      <c r="L12">
        <v>10</v>
      </c>
    </row>
    <row r="13" spans="1:12" x14ac:dyDescent="0.3">
      <c r="A13">
        <v>111</v>
      </c>
      <c r="B13" t="s">
        <v>54</v>
      </c>
      <c r="C13" t="s">
        <v>55</v>
      </c>
      <c r="D13" t="s">
        <v>214</v>
      </c>
      <c r="E13" t="s">
        <v>56</v>
      </c>
      <c r="F13" t="s">
        <v>215</v>
      </c>
      <c r="G13" t="s">
        <v>216</v>
      </c>
      <c r="H13" s="16">
        <v>35703</v>
      </c>
      <c r="I13">
        <v>6</v>
      </c>
      <c r="J13">
        <v>7700</v>
      </c>
      <c r="K13">
        <v>108</v>
      </c>
      <c r="L13">
        <v>10</v>
      </c>
    </row>
    <row r="14" spans="1:12" x14ac:dyDescent="0.3">
      <c r="A14">
        <v>112</v>
      </c>
      <c r="B14" t="s">
        <v>58</v>
      </c>
      <c r="C14" t="s">
        <v>59</v>
      </c>
      <c r="D14" t="s">
        <v>217</v>
      </c>
      <c r="E14" t="s">
        <v>60</v>
      </c>
      <c r="F14" t="s">
        <v>218</v>
      </c>
      <c r="G14" t="s">
        <v>219</v>
      </c>
      <c r="H14" s="16">
        <v>35861</v>
      </c>
      <c r="I14">
        <v>6</v>
      </c>
      <c r="J14">
        <v>7800</v>
      </c>
      <c r="K14">
        <v>108</v>
      </c>
      <c r="L14">
        <v>10</v>
      </c>
    </row>
    <row r="15" spans="1:12" x14ac:dyDescent="0.3">
      <c r="A15">
        <v>113</v>
      </c>
      <c r="B15" t="s">
        <v>62</v>
      </c>
      <c r="C15" t="s">
        <v>63</v>
      </c>
      <c r="D15" t="s">
        <v>220</v>
      </c>
      <c r="E15" t="s">
        <v>64</v>
      </c>
      <c r="F15" t="s">
        <v>221</v>
      </c>
      <c r="G15" t="s">
        <v>222</v>
      </c>
      <c r="H15" s="16">
        <v>36501</v>
      </c>
      <c r="I15">
        <v>6</v>
      </c>
      <c r="J15">
        <v>6900</v>
      </c>
      <c r="K15">
        <v>108</v>
      </c>
      <c r="L15">
        <v>10</v>
      </c>
    </row>
    <row r="16" spans="1:12" x14ac:dyDescent="0.3">
      <c r="A16">
        <v>114</v>
      </c>
      <c r="B16" t="s">
        <v>66</v>
      </c>
      <c r="C16" t="s">
        <v>67</v>
      </c>
      <c r="D16" t="s">
        <v>223</v>
      </c>
      <c r="E16" t="s">
        <v>68</v>
      </c>
      <c r="F16" t="s">
        <v>224</v>
      </c>
      <c r="G16" t="s">
        <v>225</v>
      </c>
      <c r="H16" s="16">
        <v>34675</v>
      </c>
      <c r="I16">
        <v>14</v>
      </c>
      <c r="J16">
        <v>11000</v>
      </c>
      <c r="K16">
        <v>100</v>
      </c>
      <c r="L16">
        <v>3</v>
      </c>
    </row>
    <row r="17" spans="1:12" x14ac:dyDescent="0.3">
      <c r="A17">
        <v>115</v>
      </c>
      <c r="B17" t="s">
        <v>22</v>
      </c>
      <c r="C17" t="s">
        <v>70</v>
      </c>
      <c r="D17" t="s">
        <v>226</v>
      </c>
      <c r="E17" t="s">
        <v>71</v>
      </c>
      <c r="F17" t="s">
        <v>227</v>
      </c>
      <c r="G17" t="s">
        <v>228</v>
      </c>
      <c r="H17" s="16">
        <v>34837</v>
      </c>
      <c r="I17">
        <v>13</v>
      </c>
      <c r="J17">
        <v>3100</v>
      </c>
      <c r="K17">
        <v>114</v>
      </c>
      <c r="L17">
        <v>3</v>
      </c>
    </row>
    <row r="18" spans="1:12" x14ac:dyDescent="0.3">
      <c r="A18">
        <v>116</v>
      </c>
      <c r="B18" t="s">
        <v>73</v>
      </c>
      <c r="C18" t="s">
        <v>74</v>
      </c>
      <c r="D18" t="s">
        <v>229</v>
      </c>
      <c r="E18" t="s">
        <v>75</v>
      </c>
      <c r="F18" t="s">
        <v>230</v>
      </c>
      <c r="G18" t="s">
        <v>231</v>
      </c>
      <c r="H18" s="16">
        <v>35788</v>
      </c>
      <c r="I18">
        <v>13</v>
      </c>
      <c r="J18">
        <v>2900</v>
      </c>
      <c r="K18">
        <v>114</v>
      </c>
      <c r="L18">
        <v>3</v>
      </c>
    </row>
    <row r="19" spans="1:12" x14ac:dyDescent="0.3">
      <c r="A19">
        <v>117</v>
      </c>
      <c r="B19" t="s">
        <v>77</v>
      </c>
      <c r="C19" t="s">
        <v>78</v>
      </c>
      <c r="D19" t="s">
        <v>232</v>
      </c>
      <c r="E19" t="s">
        <v>79</v>
      </c>
      <c r="F19" t="s">
        <v>233</v>
      </c>
      <c r="G19" t="s">
        <v>234</v>
      </c>
      <c r="H19" s="16">
        <v>35635</v>
      </c>
      <c r="I19">
        <v>13</v>
      </c>
      <c r="J19">
        <v>2800</v>
      </c>
      <c r="K19">
        <v>114</v>
      </c>
      <c r="L19">
        <v>3</v>
      </c>
    </row>
    <row r="20" spans="1:12" x14ac:dyDescent="0.3">
      <c r="A20">
        <v>118</v>
      </c>
      <c r="B20" t="s">
        <v>81</v>
      </c>
      <c r="C20" t="s">
        <v>82</v>
      </c>
      <c r="D20" t="s">
        <v>235</v>
      </c>
      <c r="E20" t="s">
        <v>83</v>
      </c>
      <c r="F20" t="s">
        <v>236</v>
      </c>
      <c r="G20" t="s">
        <v>237</v>
      </c>
      <c r="H20" s="16">
        <v>36114</v>
      </c>
      <c r="I20">
        <v>13</v>
      </c>
      <c r="J20">
        <v>2600</v>
      </c>
      <c r="K20">
        <v>114</v>
      </c>
      <c r="L20">
        <v>3</v>
      </c>
    </row>
    <row r="21" spans="1:12" x14ac:dyDescent="0.3">
      <c r="A21">
        <v>119</v>
      </c>
      <c r="B21" t="s">
        <v>85</v>
      </c>
      <c r="C21" t="s">
        <v>86</v>
      </c>
      <c r="D21" t="s">
        <v>238</v>
      </c>
      <c r="E21" t="s">
        <v>87</v>
      </c>
      <c r="F21" t="s">
        <v>239</v>
      </c>
      <c r="G21" t="s">
        <v>240</v>
      </c>
      <c r="H21" s="16">
        <v>36382</v>
      </c>
      <c r="I21">
        <v>13</v>
      </c>
      <c r="J21">
        <v>2500</v>
      </c>
      <c r="K21">
        <v>114</v>
      </c>
      <c r="L21">
        <v>3</v>
      </c>
    </row>
    <row r="22" spans="1:12" x14ac:dyDescent="0.3">
      <c r="A22">
        <v>120</v>
      </c>
      <c r="B22" t="s">
        <v>89</v>
      </c>
      <c r="C22" t="s">
        <v>90</v>
      </c>
      <c r="D22" t="s">
        <v>241</v>
      </c>
      <c r="E22" t="s">
        <v>91</v>
      </c>
      <c r="F22" t="s">
        <v>242</v>
      </c>
      <c r="G22" t="s">
        <v>243</v>
      </c>
      <c r="H22" s="16">
        <v>35264</v>
      </c>
      <c r="I22">
        <v>19</v>
      </c>
      <c r="J22">
        <v>8000</v>
      </c>
      <c r="K22">
        <v>100</v>
      </c>
      <c r="L22">
        <v>5</v>
      </c>
    </row>
    <row r="23" spans="1:12" x14ac:dyDescent="0.3">
      <c r="A23">
        <v>121</v>
      </c>
      <c r="B23" t="s">
        <v>93</v>
      </c>
      <c r="C23" t="s">
        <v>94</v>
      </c>
      <c r="D23" t="s">
        <v>244</v>
      </c>
      <c r="E23" t="s">
        <v>95</v>
      </c>
      <c r="F23" t="s">
        <v>245</v>
      </c>
      <c r="G23" t="s">
        <v>246</v>
      </c>
      <c r="H23" s="16">
        <v>35530</v>
      </c>
      <c r="I23">
        <v>19</v>
      </c>
      <c r="J23">
        <v>8200</v>
      </c>
      <c r="K23">
        <v>100</v>
      </c>
      <c r="L23">
        <v>5</v>
      </c>
    </row>
    <row r="24" spans="1:12" x14ac:dyDescent="0.3">
      <c r="A24">
        <v>122</v>
      </c>
      <c r="B24" t="s">
        <v>97</v>
      </c>
      <c r="C24" t="s">
        <v>98</v>
      </c>
      <c r="D24" t="s">
        <v>247</v>
      </c>
      <c r="E24" t="s">
        <v>99</v>
      </c>
      <c r="F24" t="s">
        <v>248</v>
      </c>
      <c r="G24" t="s">
        <v>249</v>
      </c>
      <c r="H24" s="16">
        <v>34820</v>
      </c>
      <c r="I24">
        <v>19</v>
      </c>
      <c r="J24">
        <v>7900</v>
      </c>
      <c r="K24">
        <v>100</v>
      </c>
      <c r="L24">
        <v>5</v>
      </c>
    </row>
    <row r="25" spans="1:12" x14ac:dyDescent="0.3">
      <c r="A25">
        <v>123</v>
      </c>
      <c r="B25" t="s">
        <v>101</v>
      </c>
      <c r="C25" t="s">
        <v>102</v>
      </c>
      <c r="D25" t="s">
        <v>250</v>
      </c>
      <c r="E25" t="s">
        <v>103</v>
      </c>
      <c r="F25" t="s">
        <v>251</v>
      </c>
      <c r="G25" t="s">
        <v>252</v>
      </c>
      <c r="H25" s="16">
        <v>35713</v>
      </c>
      <c r="I25">
        <v>19</v>
      </c>
      <c r="J25">
        <v>6500</v>
      </c>
      <c r="K25">
        <v>100</v>
      </c>
      <c r="L25">
        <v>5</v>
      </c>
    </row>
    <row r="26" spans="1:12" x14ac:dyDescent="0.3">
      <c r="A26">
        <v>126</v>
      </c>
      <c r="B26" t="s">
        <v>105</v>
      </c>
      <c r="C26" t="s">
        <v>106</v>
      </c>
      <c r="D26" t="s">
        <v>253</v>
      </c>
      <c r="E26" t="s">
        <v>107</v>
      </c>
      <c r="F26" t="s">
        <v>254</v>
      </c>
      <c r="G26" t="s">
        <v>255</v>
      </c>
      <c r="H26" s="16">
        <v>36066</v>
      </c>
      <c r="I26">
        <v>18</v>
      </c>
      <c r="J26">
        <v>2700</v>
      </c>
      <c r="K26">
        <v>120</v>
      </c>
      <c r="L26">
        <v>5</v>
      </c>
    </row>
    <row r="27" spans="1:12" x14ac:dyDescent="0.3">
      <c r="A27">
        <v>145</v>
      </c>
      <c r="B27" t="s">
        <v>50</v>
      </c>
      <c r="C27" t="s">
        <v>109</v>
      </c>
      <c r="D27" t="s">
        <v>256</v>
      </c>
      <c r="E27" t="s">
        <v>110</v>
      </c>
      <c r="F27" t="s">
        <v>257</v>
      </c>
      <c r="H27" s="16">
        <v>35339</v>
      </c>
      <c r="I27">
        <v>15</v>
      </c>
      <c r="J27">
        <v>14000</v>
      </c>
      <c r="K27">
        <v>100</v>
      </c>
      <c r="L27">
        <v>8</v>
      </c>
    </row>
    <row r="28" spans="1:12" x14ac:dyDescent="0.3">
      <c r="A28">
        <v>146</v>
      </c>
      <c r="B28" t="s">
        <v>85</v>
      </c>
      <c r="C28" t="s">
        <v>111</v>
      </c>
      <c r="D28" t="s">
        <v>258</v>
      </c>
      <c r="E28" t="s">
        <v>112</v>
      </c>
      <c r="F28" t="s">
        <v>259</v>
      </c>
      <c r="H28" s="16">
        <v>35435</v>
      </c>
      <c r="I28">
        <v>15</v>
      </c>
      <c r="J28">
        <v>13500</v>
      </c>
      <c r="K28">
        <v>100</v>
      </c>
      <c r="L28">
        <v>8</v>
      </c>
    </row>
    <row r="29" spans="1:12" x14ac:dyDescent="0.3">
      <c r="A29">
        <v>176</v>
      </c>
      <c r="B29" t="s">
        <v>113</v>
      </c>
      <c r="C29" t="s">
        <v>114</v>
      </c>
      <c r="D29" t="s">
        <v>260</v>
      </c>
      <c r="E29" t="s">
        <v>115</v>
      </c>
      <c r="F29" t="s">
        <v>261</v>
      </c>
      <c r="H29" s="16">
        <v>35878</v>
      </c>
      <c r="I29">
        <v>16</v>
      </c>
      <c r="J29">
        <v>8600</v>
      </c>
      <c r="K29">
        <v>100</v>
      </c>
      <c r="L29">
        <v>8</v>
      </c>
    </row>
    <row r="30" spans="1:12" x14ac:dyDescent="0.3">
      <c r="A30">
        <v>177</v>
      </c>
      <c r="B30" t="s">
        <v>116</v>
      </c>
      <c r="C30" t="s">
        <v>117</v>
      </c>
      <c r="D30" t="s">
        <v>262</v>
      </c>
      <c r="E30" t="s">
        <v>118</v>
      </c>
      <c r="F30" t="s">
        <v>263</v>
      </c>
      <c r="H30" s="16">
        <v>35908</v>
      </c>
      <c r="I30">
        <v>16</v>
      </c>
      <c r="J30">
        <v>8400</v>
      </c>
      <c r="K30">
        <v>100</v>
      </c>
      <c r="L30">
        <v>8</v>
      </c>
    </row>
    <row r="31" spans="1:12" x14ac:dyDescent="0.3">
      <c r="A31">
        <v>178</v>
      </c>
      <c r="B31" t="s">
        <v>119</v>
      </c>
      <c r="C31" t="s">
        <v>120</v>
      </c>
      <c r="D31" t="s">
        <v>264</v>
      </c>
      <c r="E31" t="s">
        <v>121</v>
      </c>
      <c r="F31" t="s">
        <v>265</v>
      </c>
      <c r="H31" s="16">
        <v>36304</v>
      </c>
      <c r="I31">
        <v>16</v>
      </c>
      <c r="J31">
        <v>7000</v>
      </c>
      <c r="K31">
        <v>100</v>
      </c>
      <c r="L31">
        <v>8</v>
      </c>
    </row>
    <row r="32" spans="1:12" x14ac:dyDescent="0.3">
      <c r="A32">
        <v>179</v>
      </c>
      <c r="B32" t="s">
        <v>122</v>
      </c>
      <c r="C32" t="s">
        <v>123</v>
      </c>
      <c r="D32" t="s">
        <v>266</v>
      </c>
      <c r="E32" t="s">
        <v>124</v>
      </c>
      <c r="F32" t="s">
        <v>267</v>
      </c>
      <c r="H32" s="16">
        <v>36529</v>
      </c>
      <c r="I32">
        <v>16</v>
      </c>
      <c r="J32">
        <v>6200</v>
      </c>
      <c r="K32">
        <v>100</v>
      </c>
      <c r="L32">
        <v>8</v>
      </c>
    </row>
    <row r="33" spans="1:12" x14ac:dyDescent="0.3">
      <c r="A33">
        <v>192</v>
      </c>
      <c r="B33" t="s">
        <v>125</v>
      </c>
      <c r="C33" t="s">
        <v>126</v>
      </c>
      <c r="D33" t="s">
        <v>268</v>
      </c>
      <c r="E33" t="s">
        <v>127</v>
      </c>
      <c r="F33" t="s">
        <v>269</v>
      </c>
      <c r="G33" t="s">
        <v>270</v>
      </c>
      <c r="H33" s="16">
        <v>35099</v>
      </c>
      <c r="I33">
        <v>17</v>
      </c>
      <c r="J33">
        <v>4000</v>
      </c>
      <c r="K33">
        <v>123</v>
      </c>
      <c r="L33">
        <v>5</v>
      </c>
    </row>
    <row r="34" spans="1:12" x14ac:dyDescent="0.3">
      <c r="A34">
        <v>193</v>
      </c>
      <c r="B34" t="s">
        <v>129</v>
      </c>
      <c r="C34" t="s">
        <v>130</v>
      </c>
      <c r="D34" t="s">
        <v>271</v>
      </c>
      <c r="E34" t="s">
        <v>131</v>
      </c>
      <c r="F34" t="s">
        <v>272</v>
      </c>
      <c r="G34" t="s">
        <v>273</v>
      </c>
      <c r="H34" s="16">
        <v>35492</v>
      </c>
      <c r="I34">
        <v>17</v>
      </c>
      <c r="J34">
        <v>3900</v>
      </c>
      <c r="K34">
        <v>123</v>
      </c>
      <c r="L34">
        <v>5</v>
      </c>
    </row>
    <row r="35" spans="1:12" x14ac:dyDescent="0.3">
      <c r="A35">
        <v>200</v>
      </c>
      <c r="B35" t="s">
        <v>133</v>
      </c>
      <c r="C35" t="s">
        <v>134</v>
      </c>
      <c r="D35" t="s">
        <v>274</v>
      </c>
      <c r="E35" t="s">
        <v>135</v>
      </c>
      <c r="F35" t="s">
        <v>275</v>
      </c>
      <c r="G35" t="s">
        <v>276</v>
      </c>
      <c r="H35" s="16">
        <v>32037</v>
      </c>
      <c r="I35">
        <v>3</v>
      </c>
      <c r="J35">
        <v>4400</v>
      </c>
      <c r="K35">
        <v>101</v>
      </c>
      <c r="L35">
        <v>1</v>
      </c>
    </row>
    <row r="36" spans="1:12" x14ac:dyDescent="0.3">
      <c r="A36">
        <v>201</v>
      </c>
      <c r="B36" t="s">
        <v>137</v>
      </c>
      <c r="C36" t="s">
        <v>138</v>
      </c>
      <c r="D36" t="s">
        <v>277</v>
      </c>
      <c r="E36" t="s">
        <v>139</v>
      </c>
      <c r="F36" t="s">
        <v>278</v>
      </c>
      <c r="G36" t="s">
        <v>279</v>
      </c>
      <c r="H36" s="16">
        <v>35112</v>
      </c>
      <c r="I36">
        <v>10</v>
      </c>
      <c r="J36">
        <v>13000</v>
      </c>
      <c r="K36">
        <v>100</v>
      </c>
      <c r="L36">
        <v>2</v>
      </c>
    </row>
    <row r="37" spans="1:12" x14ac:dyDescent="0.3">
      <c r="A37">
        <v>202</v>
      </c>
      <c r="B37" t="s">
        <v>141</v>
      </c>
      <c r="C37" t="s">
        <v>142</v>
      </c>
      <c r="D37" t="s">
        <v>280</v>
      </c>
      <c r="E37" t="s">
        <v>143</v>
      </c>
      <c r="F37" t="s">
        <v>281</v>
      </c>
      <c r="G37" t="s">
        <v>282</v>
      </c>
      <c r="H37" s="16">
        <v>35659</v>
      </c>
      <c r="I37">
        <v>11</v>
      </c>
      <c r="J37">
        <v>6000</v>
      </c>
      <c r="K37">
        <v>201</v>
      </c>
      <c r="L37">
        <v>2</v>
      </c>
    </row>
    <row r="38" spans="1:12" x14ac:dyDescent="0.3">
      <c r="A38">
        <v>203</v>
      </c>
      <c r="B38" t="s">
        <v>145</v>
      </c>
      <c r="C38" t="s">
        <v>146</v>
      </c>
      <c r="D38" t="s">
        <v>283</v>
      </c>
      <c r="E38" t="s">
        <v>147</v>
      </c>
      <c r="F38" t="s">
        <v>284</v>
      </c>
      <c r="G38" t="s">
        <v>285</v>
      </c>
      <c r="H38" s="16">
        <v>34492</v>
      </c>
      <c r="I38">
        <v>8</v>
      </c>
      <c r="J38">
        <v>6500</v>
      </c>
      <c r="K38">
        <v>101</v>
      </c>
      <c r="L38">
        <v>4</v>
      </c>
    </row>
    <row r="39" spans="1:12" x14ac:dyDescent="0.3">
      <c r="A39">
        <v>204</v>
      </c>
      <c r="B39" t="s">
        <v>149</v>
      </c>
      <c r="C39" t="s">
        <v>150</v>
      </c>
      <c r="D39" t="s">
        <v>286</v>
      </c>
      <c r="E39" t="s">
        <v>151</v>
      </c>
      <c r="F39" t="s">
        <v>287</v>
      </c>
      <c r="G39" t="s">
        <v>288</v>
      </c>
      <c r="H39" s="16">
        <v>34492</v>
      </c>
      <c r="I39">
        <v>12</v>
      </c>
      <c r="J39">
        <v>10000</v>
      </c>
      <c r="K39">
        <v>101</v>
      </c>
      <c r="L39">
        <v>7</v>
      </c>
    </row>
    <row r="40" spans="1:12" x14ac:dyDescent="0.3">
      <c r="A40">
        <v>205</v>
      </c>
      <c r="B40" t="s">
        <v>153</v>
      </c>
      <c r="C40" t="s">
        <v>154</v>
      </c>
      <c r="D40" t="s">
        <v>289</v>
      </c>
      <c r="E40" t="s">
        <v>155</v>
      </c>
      <c r="F40" t="s">
        <v>290</v>
      </c>
      <c r="G40" t="s">
        <v>291</v>
      </c>
      <c r="H40" s="16">
        <v>34492</v>
      </c>
      <c r="I40">
        <v>2</v>
      </c>
      <c r="J40">
        <v>12000</v>
      </c>
      <c r="K40">
        <v>101</v>
      </c>
      <c r="L40">
        <v>11</v>
      </c>
    </row>
    <row r="41" spans="1:12" x14ac:dyDescent="0.3">
      <c r="A41">
        <v>206</v>
      </c>
      <c r="B41" t="s">
        <v>157</v>
      </c>
      <c r="C41" t="s">
        <v>158</v>
      </c>
      <c r="D41" t="s">
        <v>292</v>
      </c>
      <c r="E41" t="s">
        <v>159</v>
      </c>
      <c r="F41" t="s">
        <v>293</v>
      </c>
      <c r="G41" t="s">
        <v>294</v>
      </c>
      <c r="H41" s="16">
        <v>34492</v>
      </c>
      <c r="I41">
        <v>1</v>
      </c>
      <c r="J41">
        <v>8300</v>
      </c>
      <c r="K41">
        <v>205</v>
      </c>
      <c r="L41">
        <v>11</v>
      </c>
    </row>
    <row r="42" spans="1:12" x14ac:dyDescent="0.3">
      <c r="D42" t="s">
        <v>295</v>
      </c>
      <c r="F42" t="s">
        <v>295</v>
      </c>
      <c r="H42" s="16"/>
    </row>
    <row r="43" spans="1:12" x14ac:dyDescent="0.3">
      <c r="D43" t="s">
        <v>295</v>
      </c>
      <c r="F43" t="s">
        <v>295</v>
      </c>
      <c r="H43" s="16"/>
    </row>
    <row r="44" spans="1:12" x14ac:dyDescent="0.3">
      <c r="D44" t="s">
        <v>295</v>
      </c>
      <c r="F44" t="s">
        <v>295</v>
      </c>
      <c r="H44" s="16"/>
    </row>
    <row r="45" spans="1:12" x14ac:dyDescent="0.3">
      <c r="D45" t="s">
        <v>295</v>
      </c>
      <c r="F45" t="s">
        <v>295</v>
      </c>
      <c r="H45" s="16"/>
    </row>
    <row r="46" spans="1:12" x14ac:dyDescent="0.3">
      <c r="D46" t="s">
        <v>295</v>
      </c>
      <c r="F46" t="s">
        <v>295</v>
      </c>
      <c r="H46" s="16"/>
    </row>
    <row r="47" spans="1:12" x14ac:dyDescent="0.3">
      <c r="D47" t="s">
        <v>295</v>
      </c>
      <c r="F47" t="s">
        <v>295</v>
      </c>
      <c r="H47" s="16"/>
    </row>
    <row r="48" spans="1:12" x14ac:dyDescent="0.3">
      <c r="D48" t="s">
        <v>295</v>
      </c>
      <c r="F48" t="s">
        <v>295</v>
      </c>
      <c r="H48" s="16"/>
    </row>
    <row r="49" spans="4:8" x14ac:dyDescent="0.3">
      <c r="D49" t="s">
        <v>295</v>
      </c>
      <c r="F49" t="s">
        <v>295</v>
      </c>
      <c r="H49" s="16"/>
    </row>
    <row r="50" spans="4:8" x14ac:dyDescent="0.3">
      <c r="D50" t="s">
        <v>295</v>
      </c>
      <c r="F50" t="s">
        <v>295</v>
      </c>
      <c r="H50" s="16"/>
    </row>
    <row r="51" spans="4:8" x14ac:dyDescent="0.3">
      <c r="D51" t="s">
        <v>295</v>
      </c>
      <c r="F51" t="s">
        <v>295</v>
      </c>
      <c r="H51" s="16"/>
    </row>
    <row r="52" spans="4:8" x14ac:dyDescent="0.3">
      <c r="D52" t="s">
        <v>295</v>
      </c>
      <c r="F52" t="s">
        <v>295</v>
      </c>
      <c r="H52" s="16"/>
    </row>
    <row r="53" spans="4:8" x14ac:dyDescent="0.3">
      <c r="D53" t="s">
        <v>295</v>
      </c>
      <c r="F53" t="s">
        <v>295</v>
      </c>
      <c r="H53" s="16"/>
    </row>
    <row r="54" spans="4:8" x14ac:dyDescent="0.3">
      <c r="D54" t="s">
        <v>295</v>
      </c>
      <c r="F54" t="s">
        <v>295</v>
      </c>
      <c r="H54" s="16"/>
    </row>
    <row r="55" spans="4:8" x14ac:dyDescent="0.3">
      <c r="D55" t="s">
        <v>295</v>
      </c>
      <c r="F55" t="s">
        <v>295</v>
      </c>
      <c r="H55" s="16"/>
    </row>
    <row r="56" spans="4:8" x14ac:dyDescent="0.3">
      <c r="D56" t="s">
        <v>295</v>
      </c>
      <c r="F56" t="s">
        <v>295</v>
      </c>
      <c r="H56" s="16"/>
    </row>
    <row r="57" spans="4:8" x14ac:dyDescent="0.3">
      <c r="D57" t="s">
        <v>295</v>
      </c>
      <c r="F57" t="s">
        <v>295</v>
      </c>
      <c r="H57" s="16"/>
    </row>
    <row r="58" spans="4:8" x14ac:dyDescent="0.3">
      <c r="D58" t="s">
        <v>295</v>
      </c>
      <c r="F58" t="s">
        <v>295</v>
      </c>
      <c r="H58" s="16"/>
    </row>
    <row r="59" spans="4:8" x14ac:dyDescent="0.3">
      <c r="D59" t="s">
        <v>295</v>
      </c>
      <c r="F59" t="s">
        <v>295</v>
      </c>
      <c r="H59" s="16"/>
    </row>
    <row r="60" spans="4:8" x14ac:dyDescent="0.3">
      <c r="D60" t="s">
        <v>295</v>
      </c>
      <c r="F60" t="s">
        <v>295</v>
      </c>
      <c r="H60" s="16"/>
    </row>
    <row r="61" spans="4:8" x14ac:dyDescent="0.3">
      <c r="D61" t="s">
        <v>295</v>
      </c>
      <c r="F61" t="s">
        <v>295</v>
      </c>
      <c r="H61" s="16"/>
    </row>
    <row r="62" spans="4:8" x14ac:dyDescent="0.3">
      <c r="D62" t="s">
        <v>295</v>
      </c>
      <c r="F62" t="s">
        <v>295</v>
      </c>
      <c r="H62" s="16"/>
    </row>
    <row r="63" spans="4:8" x14ac:dyDescent="0.3">
      <c r="D63" t="s">
        <v>295</v>
      </c>
      <c r="F63" t="s">
        <v>295</v>
      </c>
      <c r="H63" s="16"/>
    </row>
    <row r="64" spans="4:8" x14ac:dyDescent="0.3">
      <c r="D64" t="s">
        <v>295</v>
      </c>
      <c r="F64" t="s">
        <v>295</v>
      </c>
      <c r="H64" s="16"/>
    </row>
    <row r="65" spans="4:8" x14ac:dyDescent="0.3">
      <c r="D65" t="s">
        <v>295</v>
      </c>
      <c r="F65" t="s">
        <v>295</v>
      </c>
      <c r="H65" s="16"/>
    </row>
    <row r="66" spans="4:8" x14ac:dyDescent="0.3">
      <c r="D66" t="s">
        <v>295</v>
      </c>
      <c r="F66" t="s">
        <v>295</v>
      </c>
      <c r="H66" s="16"/>
    </row>
    <row r="67" spans="4:8" x14ac:dyDescent="0.3">
      <c r="D67" t="s">
        <v>295</v>
      </c>
      <c r="F67" t="s">
        <v>295</v>
      </c>
      <c r="H67" s="16"/>
    </row>
    <row r="68" spans="4:8" x14ac:dyDescent="0.3">
      <c r="D68" t="s">
        <v>295</v>
      </c>
      <c r="F68" t="s">
        <v>295</v>
      </c>
      <c r="H68" s="16"/>
    </row>
    <row r="69" spans="4:8" x14ac:dyDescent="0.3">
      <c r="D69" t="s">
        <v>295</v>
      </c>
      <c r="F69" t="s">
        <v>295</v>
      </c>
      <c r="H69" s="16"/>
    </row>
    <row r="70" spans="4:8" x14ac:dyDescent="0.3">
      <c r="D70" t="s">
        <v>295</v>
      </c>
      <c r="F70" t="s">
        <v>295</v>
      </c>
      <c r="H70" s="16"/>
    </row>
    <row r="71" spans="4:8" x14ac:dyDescent="0.3">
      <c r="D71" t="s">
        <v>295</v>
      </c>
      <c r="F71" t="s">
        <v>295</v>
      </c>
      <c r="H71" s="16"/>
    </row>
    <row r="72" spans="4:8" x14ac:dyDescent="0.3">
      <c r="D72" t="s">
        <v>295</v>
      </c>
      <c r="F72" t="s">
        <v>295</v>
      </c>
      <c r="H72" s="16"/>
    </row>
    <row r="73" spans="4:8" x14ac:dyDescent="0.3">
      <c r="D73" t="s">
        <v>295</v>
      </c>
      <c r="F73" t="s">
        <v>295</v>
      </c>
      <c r="H73" s="16"/>
    </row>
    <row r="74" spans="4:8" x14ac:dyDescent="0.3">
      <c r="D74" t="s">
        <v>295</v>
      </c>
      <c r="F74" t="s">
        <v>295</v>
      </c>
      <c r="H74" s="16"/>
    </row>
    <row r="75" spans="4:8" x14ac:dyDescent="0.3">
      <c r="D75" t="s">
        <v>295</v>
      </c>
      <c r="F75" t="s">
        <v>295</v>
      </c>
      <c r="H75" s="16"/>
    </row>
    <row r="76" spans="4:8" x14ac:dyDescent="0.3">
      <c r="D76" t="s">
        <v>295</v>
      </c>
      <c r="F76" t="s">
        <v>295</v>
      </c>
      <c r="H76" s="16"/>
    </row>
    <row r="77" spans="4:8" x14ac:dyDescent="0.3">
      <c r="D77" t="s">
        <v>295</v>
      </c>
      <c r="F77" t="s">
        <v>295</v>
      </c>
      <c r="H77" s="16"/>
    </row>
    <row r="78" spans="4:8" x14ac:dyDescent="0.3">
      <c r="D78" t="s">
        <v>295</v>
      </c>
      <c r="F78" t="s">
        <v>295</v>
      </c>
      <c r="H78" s="16"/>
    </row>
    <row r="79" spans="4:8" x14ac:dyDescent="0.3">
      <c r="D79" t="s">
        <v>295</v>
      </c>
      <c r="F79" t="s">
        <v>295</v>
      </c>
      <c r="H79" s="16"/>
    </row>
    <row r="80" spans="4:8" x14ac:dyDescent="0.3">
      <c r="D80" t="s">
        <v>295</v>
      </c>
      <c r="F80" t="s">
        <v>295</v>
      </c>
      <c r="H80" s="16"/>
    </row>
    <row r="81" spans="4:8" x14ac:dyDescent="0.3">
      <c r="D81" t="s">
        <v>295</v>
      </c>
      <c r="F81" t="s">
        <v>295</v>
      </c>
      <c r="H81" s="16"/>
    </row>
    <row r="82" spans="4:8" x14ac:dyDescent="0.3">
      <c r="D82" t="s">
        <v>295</v>
      </c>
      <c r="F82" t="s">
        <v>295</v>
      </c>
      <c r="H82" s="16"/>
    </row>
    <row r="83" spans="4:8" x14ac:dyDescent="0.3">
      <c r="D83" t="s">
        <v>295</v>
      </c>
      <c r="F83" t="s">
        <v>295</v>
      </c>
      <c r="H83" s="16"/>
    </row>
    <row r="84" spans="4:8" x14ac:dyDescent="0.3">
      <c r="D84" t="s">
        <v>295</v>
      </c>
      <c r="F84" t="s">
        <v>295</v>
      </c>
      <c r="H84" s="16"/>
    </row>
    <row r="85" spans="4:8" x14ac:dyDescent="0.3">
      <c r="D85" t="s">
        <v>295</v>
      </c>
      <c r="F85" t="s">
        <v>295</v>
      </c>
      <c r="H85" s="16"/>
    </row>
    <row r="86" spans="4:8" x14ac:dyDescent="0.3">
      <c r="D86" t="s">
        <v>295</v>
      </c>
      <c r="F86" t="s">
        <v>295</v>
      </c>
      <c r="H86" s="16"/>
    </row>
    <row r="87" spans="4:8" x14ac:dyDescent="0.3">
      <c r="D87" t="s">
        <v>295</v>
      </c>
      <c r="F87" t="s">
        <v>295</v>
      </c>
      <c r="H87" s="16"/>
    </row>
    <row r="88" spans="4:8" x14ac:dyDescent="0.3">
      <c r="D88" t="s">
        <v>295</v>
      </c>
      <c r="F88" t="s">
        <v>295</v>
      </c>
      <c r="H88" s="16"/>
    </row>
    <row r="89" spans="4:8" x14ac:dyDescent="0.3">
      <c r="D89" t="s">
        <v>295</v>
      </c>
      <c r="F89" t="s">
        <v>295</v>
      </c>
      <c r="H89" s="16"/>
    </row>
    <row r="90" spans="4:8" x14ac:dyDescent="0.3">
      <c r="D90" t="s">
        <v>295</v>
      </c>
      <c r="F90" t="s">
        <v>295</v>
      </c>
      <c r="H90" s="16"/>
    </row>
    <row r="91" spans="4:8" x14ac:dyDescent="0.3">
      <c r="D91" t="s">
        <v>295</v>
      </c>
      <c r="F91" t="s">
        <v>295</v>
      </c>
      <c r="H91" s="16"/>
    </row>
    <row r="92" spans="4:8" x14ac:dyDescent="0.3">
      <c r="D92" t="s">
        <v>295</v>
      </c>
      <c r="F92" t="s">
        <v>295</v>
      </c>
      <c r="H92" s="16"/>
    </row>
    <row r="93" spans="4:8" x14ac:dyDescent="0.3">
      <c r="D93" t="s">
        <v>295</v>
      </c>
      <c r="F93" t="s">
        <v>295</v>
      </c>
      <c r="H93" s="16"/>
    </row>
    <row r="94" spans="4:8" x14ac:dyDescent="0.3">
      <c r="D94" t="s">
        <v>295</v>
      </c>
      <c r="F94" t="s">
        <v>295</v>
      </c>
      <c r="H94" s="16"/>
    </row>
    <row r="95" spans="4:8" x14ac:dyDescent="0.3">
      <c r="D95" t="s">
        <v>295</v>
      </c>
      <c r="F95" t="s">
        <v>295</v>
      </c>
      <c r="H95" s="16"/>
    </row>
    <row r="96" spans="4:8" x14ac:dyDescent="0.3">
      <c r="D96" t="s">
        <v>295</v>
      </c>
      <c r="F96" t="s">
        <v>295</v>
      </c>
      <c r="H96" s="16"/>
    </row>
    <row r="97" spans="4:8" x14ac:dyDescent="0.3">
      <c r="D97" t="s">
        <v>295</v>
      </c>
      <c r="F97" t="s">
        <v>295</v>
      </c>
      <c r="H97" s="16"/>
    </row>
    <row r="98" spans="4:8" x14ac:dyDescent="0.3">
      <c r="D98" t="s">
        <v>295</v>
      </c>
      <c r="F98" t="s">
        <v>295</v>
      </c>
      <c r="H98" s="16"/>
    </row>
    <row r="99" spans="4:8" x14ac:dyDescent="0.3">
      <c r="D99" t="s">
        <v>295</v>
      </c>
      <c r="F99" t="s">
        <v>295</v>
      </c>
      <c r="H99" s="16"/>
    </row>
    <row r="100" spans="4:8" x14ac:dyDescent="0.3">
      <c r="D100" t="s">
        <v>295</v>
      </c>
      <c r="F100" t="s">
        <v>295</v>
      </c>
      <c r="H100" s="16"/>
    </row>
    <row r="101" spans="4:8" x14ac:dyDescent="0.3">
      <c r="D101" t="s">
        <v>295</v>
      </c>
      <c r="F101" t="s">
        <v>295</v>
      </c>
      <c r="H101" s="16"/>
    </row>
    <row r="102" spans="4:8" x14ac:dyDescent="0.3">
      <c r="D102" t="s">
        <v>295</v>
      </c>
      <c r="F102" t="s">
        <v>295</v>
      </c>
      <c r="H102" s="16"/>
    </row>
    <row r="103" spans="4:8" x14ac:dyDescent="0.3">
      <c r="D103" t="s">
        <v>295</v>
      </c>
      <c r="F103" t="s">
        <v>295</v>
      </c>
      <c r="H103" s="16"/>
    </row>
    <row r="104" spans="4:8" x14ac:dyDescent="0.3">
      <c r="D104" t="s">
        <v>295</v>
      </c>
      <c r="F104" t="s">
        <v>295</v>
      </c>
      <c r="H104" s="16"/>
    </row>
    <row r="105" spans="4:8" x14ac:dyDescent="0.3">
      <c r="D105" t="s">
        <v>295</v>
      </c>
      <c r="F105" t="s">
        <v>295</v>
      </c>
      <c r="H105" s="16"/>
    </row>
    <row r="106" spans="4:8" x14ac:dyDescent="0.3">
      <c r="D106" t="s">
        <v>295</v>
      </c>
      <c r="F106" t="s">
        <v>295</v>
      </c>
      <c r="H106" s="16"/>
    </row>
    <row r="107" spans="4:8" x14ac:dyDescent="0.3">
      <c r="D107" t="s">
        <v>295</v>
      </c>
      <c r="F107" t="s">
        <v>295</v>
      </c>
      <c r="H107" s="16"/>
    </row>
    <row r="108" spans="4:8" x14ac:dyDescent="0.3">
      <c r="D108" t="s">
        <v>295</v>
      </c>
      <c r="F108" t="s">
        <v>295</v>
      </c>
      <c r="H108" s="16"/>
    </row>
    <row r="109" spans="4:8" x14ac:dyDescent="0.3">
      <c r="D109" t="s">
        <v>295</v>
      </c>
      <c r="F109" t="s">
        <v>295</v>
      </c>
      <c r="H109" s="16"/>
    </row>
    <row r="110" spans="4:8" x14ac:dyDescent="0.3">
      <c r="D110" t="s">
        <v>295</v>
      </c>
      <c r="F110" t="s">
        <v>295</v>
      </c>
      <c r="H110" s="16"/>
    </row>
    <row r="111" spans="4:8" x14ac:dyDescent="0.3">
      <c r="D111" t="s">
        <v>295</v>
      </c>
      <c r="F111" t="s">
        <v>295</v>
      </c>
      <c r="H111" s="16"/>
    </row>
    <row r="112" spans="4:8" x14ac:dyDescent="0.3">
      <c r="D112" t="s">
        <v>295</v>
      </c>
      <c r="F112" t="s">
        <v>295</v>
      </c>
      <c r="H112" s="16"/>
    </row>
    <row r="113" spans="4:8" x14ac:dyDescent="0.3">
      <c r="D113" t="s">
        <v>295</v>
      </c>
      <c r="F113" t="s">
        <v>295</v>
      </c>
      <c r="H113" s="16"/>
    </row>
    <row r="114" spans="4:8" x14ac:dyDescent="0.3">
      <c r="D114" t="s">
        <v>295</v>
      </c>
      <c r="F114" t="s">
        <v>295</v>
      </c>
      <c r="H114" s="16"/>
    </row>
    <row r="115" spans="4:8" x14ac:dyDescent="0.3">
      <c r="D115" t="s">
        <v>295</v>
      </c>
      <c r="F115" t="s">
        <v>295</v>
      </c>
      <c r="H115" s="16"/>
    </row>
    <row r="116" spans="4:8" x14ac:dyDescent="0.3">
      <c r="D116" t="s">
        <v>295</v>
      </c>
      <c r="F116" t="s">
        <v>295</v>
      </c>
      <c r="H116" s="16"/>
    </row>
    <row r="117" spans="4:8" x14ac:dyDescent="0.3">
      <c r="D117" t="s">
        <v>295</v>
      </c>
      <c r="F117" t="s">
        <v>295</v>
      </c>
      <c r="H117" s="16"/>
    </row>
    <row r="118" spans="4:8" x14ac:dyDescent="0.3">
      <c r="D118" t="s">
        <v>295</v>
      </c>
      <c r="F118" t="s">
        <v>295</v>
      </c>
      <c r="H118" s="16"/>
    </row>
    <row r="119" spans="4:8" x14ac:dyDescent="0.3">
      <c r="D119" t="s">
        <v>295</v>
      </c>
      <c r="F119" t="s">
        <v>295</v>
      </c>
      <c r="H119" s="16"/>
    </row>
    <row r="120" spans="4:8" x14ac:dyDescent="0.3">
      <c r="D120" t="s">
        <v>295</v>
      </c>
      <c r="F120" t="s">
        <v>295</v>
      </c>
      <c r="H120" s="16"/>
    </row>
    <row r="121" spans="4:8" x14ac:dyDescent="0.3">
      <c r="D121" t="s">
        <v>295</v>
      </c>
      <c r="F121" t="s">
        <v>295</v>
      </c>
      <c r="H121" s="16"/>
    </row>
    <row r="122" spans="4:8" x14ac:dyDescent="0.3">
      <c r="D122" t="s">
        <v>295</v>
      </c>
      <c r="F122" t="s">
        <v>295</v>
      </c>
      <c r="H122" s="16"/>
    </row>
    <row r="123" spans="4:8" x14ac:dyDescent="0.3">
      <c r="D123" t="s">
        <v>295</v>
      </c>
      <c r="F123" t="s">
        <v>295</v>
      </c>
      <c r="H123" s="16"/>
    </row>
    <row r="124" spans="4:8" x14ac:dyDescent="0.3">
      <c r="D124" t="s">
        <v>295</v>
      </c>
      <c r="F124" t="s">
        <v>295</v>
      </c>
      <c r="H124" s="16"/>
    </row>
    <row r="125" spans="4:8" x14ac:dyDescent="0.3">
      <c r="D125" t="s">
        <v>295</v>
      </c>
      <c r="F125" t="s">
        <v>295</v>
      </c>
      <c r="H125" s="16"/>
    </row>
    <row r="126" spans="4:8" x14ac:dyDescent="0.3">
      <c r="D126" t="s">
        <v>295</v>
      </c>
      <c r="F126" t="s">
        <v>295</v>
      </c>
      <c r="H126" s="16"/>
    </row>
    <row r="127" spans="4:8" x14ac:dyDescent="0.3">
      <c r="D127" t="s">
        <v>295</v>
      </c>
      <c r="F127" t="s">
        <v>295</v>
      </c>
      <c r="H127" s="16"/>
    </row>
    <row r="128" spans="4:8" x14ac:dyDescent="0.3">
      <c r="D128" t="s">
        <v>295</v>
      </c>
      <c r="F128" t="s">
        <v>295</v>
      </c>
      <c r="H128" s="16"/>
    </row>
    <row r="129" spans="4:8" x14ac:dyDescent="0.3">
      <c r="D129" t="s">
        <v>295</v>
      </c>
      <c r="F129" t="s">
        <v>295</v>
      </c>
      <c r="H129" s="16"/>
    </row>
    <row r="130" spans="4:8" x14ac:dyDescent="0.3">
      <c r="D130" t="s">
        <v>295</v>
      </c>
      <c r="F130" t="s">
        <v>295</v>
      </c>
      <c r="H130" s="16"/>
    </row>
    <row r="131" spans="4:8" x14ac:dyDescent="0.3">
      <c r="D131" t="s">
        <v>295</v>
      </c>
      <c r="F131" t="s">
        <v>295</v>
      </c>
      <c r="H131" s="16"/>
    </row>
    <row r="132" spans="4:8" x14ac:dyDescent="0.3">
      <c r="D132" t="s">
        <v>295</v>
      </c>
      <c r="F132" t="s">
        <v>295</v>
      </c>
      <c r="H132" s="16"/>
    </row>
    <row r="133" spans="4:8" x14ac:dyDescent="0.3">
      <c r="D133" t="s">
        <v>295</v>
      </c>
      <c r="F133" t="s">
        <v>295</v>
      </c>
      <c r="H133" s="16"/>
    </row>
    <row r="134" spans="4:8" x14ac:dyDescent="0.3">
      <c r="D134" t="s">
        <v>295</v>
      </c>
      <c r="F134" t="s">
        <v>295</v>
      </c>
      <c r="H134" s="16"/>
    </row>
    <row r="135" spans="4:8" x14ac:dyDescent="0.3">
      <c r="D135" t="s">
        <v>295</v>
      </c>
      <c r="F135" t="s">
        <v>295</v>
      </c>
      <c r="H135" s="16"/>
    </row>
    <row r="136" spans="4:8" x14ac:dyDescent="0.3">
      <c r="D136" t="s">
        <v>295</v>
      </c>
      <c r="F136" t="s">
        <v>295</v>
      </c>
      <c r="H136" s="16"/>
    </row>
    <row r="137" spans="4:8" x14ac:dyDescent="0.3">
      <c r="D137" t="s">
        <v>295</v>
      </c>
      <c r="F137" t="s">
        <v>295</v>
      </c>
      <c r="H137" s="16"/>
    </row>
    <row r="138" spans="4:8" x14ac:dyDescent="0.3">
      <c r="D138" t="s">
        <v>295</v>
      </c>
      <c r="F138" t="s">
        <v>295</v>
      </c>
      <c r="H138" s="16"/>
    </row>
    <row r="139" spans="4:8" x14ac:dyDescent="0.3">
      <c r="D139" t="s">
        <v>295</v>
      </c>
      <c r="F139" t="s">
        <v>295</v>
      </c>
      <c r="H139" s="16"/>
    </row>
    <row r="140" spans="4:8" x14ac:dyDescent="0.3">
      <c r="D140" t="s">
        <v>295</v>
      </c>
      <c r="F140" t="s">
        <v>295</v>
      </c>
      <c r="H140" s="16"/>
    </row>
    <row r="141" spans="4:8" x14ac:dyDescent="0.3">
      <c r="D141" t="s">
        <v>295</v>
      </c>
      <c r="F141" t="s">
        <v>295</v>
      </c>
      <c r="H141" s="16"/>
    </row>
    <row r="142" spans="4:8" x14ac:dyDescent="0.3">
      <c r="D142" t="s">
        <v>295</v>
      </c>
      <c r="F142" t="s">
        <v>295</v>
      </c>
      <c r="H142" s="16"/>
    </row>
    <row r="143" spans="4:8" x14ac:dyDescent="0.3">
      <c r="D143" t="s">
        <v>295</v>
      </c>
      <c r="F143" t="s">
        <v>295</v>
      </c>
      <c r="H143" s="16"/>
    </row>
    <row r="144" spans="4:8" x14ac:dyDescent="0.3">
      <c r="D144" t="s">
        <v>295</v>
      </c>
      <c r="F144" t="s">
        <v>295</v>
      </c>
      <c r="H144" s="16"/>
    </row>
    <row r="145" spans="4:8" x14ac:dyDescent="0.3">
      <c r="D145" t="s">
        <v>295</v>
      </c>
      <c r="F145" t="s">
        <v>295</v>
      </c>
      <c r="H145" s="16"/>
    </row>
    <row r="146" spans="4:8" x14ac:dyDescent="0.3">
      <c r="D146" t="s">
        <v>295</v>
      </c>
      <c r="F146" t="s">
        <v>295</v>
      </c>
      <c r="H146" s="16"/>
    </row>
    <row r="147" spans="4:8" x14ac:dyDescent="0.3">
      <c r="D147" t="s">
        <v>295</v>
      </c>
      <c r="F147" t="s">
        <v>295</v>
      </c>
      <c r="H147" s="16"/>
    </row>
    <row r="148" spans="4:8" x14ac:dyDescent="0.3">
      <c r="D148" t="s">
        <v>295</v>
      </c>
      <c r="F148" t="s">
        <v>295</v>
      </c>
      <c r="H148" s="16"/>
    </row>
    <row r="149" spans="4:8" x14ac:dyDescent="0.3">
      <c r="D149" t="s">
        <v>295</v>
      </c>
      <c r="F149" t="s">
        <v>295</v>
      </c>
      <c r="H149" s="16"/>
    </row>
    <row r="150" spans="4:8" x14ac:dyDescent="0.3">
      <c r="D150" t="s">
        <v>295</v>
      </c>
      <c r="F150" t="s">
        <v>295</v>
      </c>
      <c r="H150" s="16"/>
    </row>
    <row r="151" spans="4:8" x14ac:dyDescent="0.3">
      <c r="D151" t="s">
        <v>295</v>
      </c>
      <c r="F151" t="s">
        <v>295</v>
      </c>
      <c r="H151" s="16"/>
    </row>
    <row r="152" spans="4:8" x14ac:dyDescent="0.3">
      <c r="D152" t="s">
        <v>295</v>
      </c>
      <c r="F152" t="s">
        <v>295</v>
      </c>
      <c r="H152" s="16"/>
    </row>
    <row r="153" spans="4:8" x14ac:dyDescent="0.3">
      <c r="D153" t="s">
        <v>295</v>
      </c>
      <c r="F153" t="s">
        <v>295</v>
      </c>
      <c r="H153" s="16"/>
    </row>
    <row r="154" spans="4:8" x14ac:dyDescent="0.3">
      <c r="D154" t="s">
        <v>295</v>
      </c>
      <c r="F154" t="s">
        <v>295</v>
      </c>
      <c r="H154" s="16"/>
    </row>
    <row r="155" spans="4:8" x14ac:dyDescent="0.3">
      <c r="D155" t="s">
        <v>295</v>
      </c>
      <c r="F155" t="s">
        <v>295</v>
      </c>
      <c r="H155" s="16"/>
    </row>
    <row r="156" spans="4:8" x14ac:dyDescent="0.3">
      <c r="D156" t="s">
        <v>295</v>
      </c>
      <c r="F156" t="s">
        <v>295</v>
      </c>
      <c r="H156" s="16"/>
    </row>
    <row r="157" spans="4:8" x14ac:dyDescent="0.3">
      <c r="D157" t="s">
        <v>295</v>
      </c>
      <c r="F157" t="s">
        <v>295</v>
      </c>
      <c r="H157" s="16"/>
    </row>
    <row r="158" spans="4:8" x14ac:dyDescent="0.3">
      <c r="D158" t="s">
        <v>295</v>
      </c>
      <c r="F158" t="s">
        <v>295</v>
      </c>
      <c r="H158" s="16"/>
    </row>
    <row r="159" spans="4:8" x14ac:dyDescent="0.3">
      <c r="D159" t="s">
        <v>295</v>
      </c>
      <c r="F159" t="s">
        <v>295</v>
      </c>
      <c r="H159" s="16"/>
    </row>
    <row r="160" spans="4:8" x14ac:dyDescent="0.3">
      <c r="D160" t="s">
        <v>295</v>
      </c>
      <c r="F160" t="s">
        <v>295</v>
      </c>
      <c r="H160" s="16"/>
    </row>
    <row r="161" spans="4:8" x14ac:dyDescent="0.3">
      <c r="D161" t="s">
        <v>295</v>
      </c>
      <c r="F161" t="s">
        <v>295</v>
      </c>
      <c r="H161" s="16"/>
    </row>
    <row r="162" spans="4:8" x14ac:dyDescent="0.3">
      <c r="D162" t="s">
        <v>295</v>
      </c>
      <c r="F162" t="s">
        <v>295</v>
      </c>
      <c r="H162" s="16"/>
    </row>
    <row r="163" spans="4:8" x14ac:dyDescent="0.3">
      <c r="D163" t="s">
        <v>295</v>
      </c>
      <c r="F163" t="s">
        <v>295</v>
      </c>
      <c r="H163" s="16"/>
    </row>
    <row r="164" spans="4:8" x14ac:dyDescent="0.3">
      <c r="D164" t="s">
        <v>295</v>
      </c>
      <c r="F164" t="s">
        <v>295</v>
      </c>
      <c r="H164" s="16"/>
    </row>
    <row r="165" spans="4:8" x14ac:dyDescent="0.3">
      <c r="D165" t="s">
        <v>295</v>
      </c>
      <c r="F165" t="s">
        <v>295</v>
      </c>
      <c r="H165" s="16"/>
    </row>
    <row r="166" spans="4:8" x14ac:dyDescent="0.3">
      <c r="D166" t="s">
        <v>295</v>
      </c>
      <c r="F166" t="s">
        <v>295</v>
      </c>
      <c r="H166" s="16"/>
    </row>
    <row r="167" spans="4:8" x14ac:dyDescent="0.3">
      <c r="D167" t="s">
        <v>295</v>
      </c>
      <c r="F167" t="s">
        <v>295</v>
      </c>
      <c r="H167" s="16"/>
    </row>
    <row r="168" spans="4:8" x14ac:dyDescent="0.3">
      <c r="D168" t="s">
        <v>295</v>
      </c>
      <c r="F168" t="s">
        <v>295</v>
      </c>
      <c r="H168" s="16"/>
    </row>
    <row r="169" spans="4:8" x14ac:dyDescent="0.3">
      <c r="D169" t="s">
        <v>295</v>
      </c>
      <c r="F169" t="s">
        <v>295</v>
      </c>
      <c r="H169" s="16"/>
    </row>
    <row r="170" spans="4:8" x14ac:dyDescent="0.3">
      <c r="D170" t="s">
        <v>295</v>
      </c>
      <c r="F170" t="s">
        <v>295</v>
      </c>
      <c r="H170" s="16"/>
    </row>
    <row r="171" spans="4:8" x14ac:dyDescent="0.3">
      <c r="D171" t="s">
        <v>295</v>
      </c>
      <c r="F171" t="s">
        <v>295</v>
      </c>
      <c r="H171" s="16"/>
    </row>
    <row r="172" spans="4:8" x14ac:dyDescent="0.3">
      <c r="D172" t="s">
        <v>295</v>
      </c>
      <c r="F172" t="s">
        <v>295</v>
      </c>
      <c r="H172" s="16"/>
    </row>
    <row r="173" spans="4:8" x14ac:dyDescent="0.3">
      <c r="D173" t="s">
        <v>295</v>
      </c>
      <c r="F173" t="s">
        <v>295</v>
      </c>
      <c r="H173" s="16"/>
    </row>
    <row r="174" spans="4:8" x14ac:dyDescent="0.3">
      <c r="D174" t="s">
        <v>295</v>
      </c>
      <c r="F174" t="s">
        <v>295</v>
      </c>
      <c r="H174" s="16"/>
    </row>
    <row r="175" spans="4:8" x14ac:dyDescent="0.3">
      <c r="D175" t="s">
        <v>295</v>
      </c>
      <c r="F175" t="s">
        <v>295</v>
      </c>
      <c r="H175" s="16"/>
    </row>
    <row r="176" spans="4:8" x14ac:dyDescent="0.3">
      <c r="D176" t="s">
        <v>295</v>
      </c>
      <c r="F176" t="s">
        <v>295</v>
      </c>
      <c r="H176" s="16"/>
    </row>
    <row r="177" spans="4:8" x14ac:dyDescent="0.3">
      <c r="D177" t="s">
        <v>295</v>
      </c>
      <c r="F177" t="s">
        <v>295</v>
      </c>
      <c r="H177" s="16"/>
    </row>
    <row r="178" spans="4:8" x14ac:dyDescent="0.3">
      <c r="D178" t="s">
        <v>295</v>
      </c>
      <c r="F178" t="s">
        <v>295</v>
      </c>
      <c r="H178" s="16"/>
    </row>
    <row r="179" spans="4:8" x14ac:dyDescent="0.3">
      <c r="D179" t="s">
        <v>295</v>
      </c>
      <c r="F179" t="s">
        <v>295</v>
      </c>
      <c r="H179" s="16"/>
    </row>
    <row r="180" spans="4:8" x14ac:dyDescent="0.3">
      <c r="D180" t="s">
        <v>295</v>
      </c>
      <c r="F180" t="s">
        <v>295</v>
      </c>
      <c r="H180" s="16"/>
    </row>
    <row r="181" spans="4:8" x14ac:dyDescent="0.3">
      <c r="D181" t="s">
        <v>295</v>
      </c>
      <c r="F181" t="s">
        <v>295</v>
      </c>
      <c r="H181" s="16"/>
    </row>
    <row r="182" spans="4:8" x14ac:dyDescent="0.3">
      <c r="D182" t="s">
        <v>295</v>
      </c>
      <c r="F182" t="s">
        <v>295</v>
      </c>
      <c r="H182" s="16"/>
    </row>
    <row r="183" spans="4:8" x14ac:dyDescent="0.3">
      <c r="D183" t="s">
        <v>295</v>
      </c>
      <c r="F183" t="s">
        <v>295</v>
      </c>
      <c r="H183" s="16"/>
    </row>
    <row r="184" spans="4:8" x14ac:dyDescent="0.3">
      <c r="D184" t="s">
        <v>295</v>
      </c>
      <c r="F184" t="s">
        <v>295</v>
      </c>
      <c r="H184" s="16"/>
    </row>
    <row r="185" spans="4:8" x14ac:dyDescent="0.3">
      <c r="D185" t="s">
        <v>295</v>
      </c>
      <c r="F185" t="s">
        <v>295</v>
      </c>
      <c r="H185" s="16"/>
    </row>
    <row r="186" spans="4:8" x14ac:dyDescent="0.3">
      <c r="D186" t="s">
        <v>295</v>
      </c>
      <c r="F186" t="s">
        <v>295</v>
      </c>
      <c r="H186" s="16"/>
    </row>
    <row r="187" spans="4:8" x14ac:dyDescent="0.3">
      <c r="D187" t="s">
        <v>295</v>
      </c>
      <c r="F187" t="s">
        <v>295</v>
      </c>
      <c r="H187" s="16"/>
    </row>
    <row r="188" spans="4:8" x14ac:dyDescent="0.3">
      <c r="D188" t="s">
        <v>295</v>
      </c>
      <c r="F188" t="s">
        <v>295</v>
      </c>
      <c r="H188" s="16"/>
    </row>
    <row r="189" spans="4:8" x14ac:dyDescent="0.3">
      <c r="D189" t="s">
        <v>295</v>
      </c>
      <c r="F189" t="s">
        <v>295</v>
      </c>
      <c r="H189" s="16"/>
    </row>
    <row r="190" spans="4:8" x14ac:dyDescent="0.3">
      <c r="D190" t="s">
        <v>295</v>
      </c>
      <c r="F190" t="s">
        <v>295</v>
      </c>
      <c r="H190" s="16"/>
    </row>
    <row r="191" spans="4:8" x14ac:dyDescent="0.3">
      <c r="D191" t="s">
        <v>295</v>
      </c>
      <c r="F191" t="s">
        <v>295</v>
      </c>
      <c r="H191" s="16"/>
    </row>
    <row r="192" spans="4:8" x14ac:dyDescent="0.3">
      <c r="D192" t="s">
        <v>295</v>
      </c>
      <c r="F192" t="s">
        <v>295</v>
      </c>
      <c r="H192" s="16"/>
    </row>
    <row r="193" spans="4:8" x14ac:dyDescent="0.3">
      <c r="D193" t="s">
        <v>295</v>
      </c>
      <c r="F193" t="s">
        <v>295</v>
      </c>
      <c r="H193" s="16"/>
    </row>
    <row r="194" spans="4:8" x14ac:dyDescent="0.3">
      <c r="D194" t="s">
        <v>295</v>
      </c>
      <c r="F194" t="s">
        <v>295</v>
      </c>
      <c r="H194" s="16"/>
    </row>
    <row r="195" spans="4:8" x14ac:dyDescent="0.3">
      <c r="D195" t="s">
        <v>295</v>
      </c>
      <c r="F195" t="s">
        <v>295</v>
      </c>
      <c r="H195" s="16"/>
    </row>
    <row r="196" spans="4:8" x14ac:dyDescent="0.3">
      <c r="D196" t="s">
        <v>295</v>
      </c>
      <c r="F196" t="s">
        <v>295</v>
      </c>
      <c r="H196" s="16"/>
    </row>
    <row r="197" spans="4:8" x14ac:dyDescent="0.3">
      <c r="D197" t="s">
        <v>295</v>
      </c>
      <c r="F197" t="s">
        <v>295</v>
      </c>
      <c r="H197" s="16"/>
    </row>
    <row r="198" spans="4:8" x14ac:dyDescent="0.3">
      <c r="D198" t="s">
        <v>295</v>
      </c>
      <c r="F198" t="s">
        <v>295</v>
      </c>
      <c r="H198" s="16"/>
    </row>
    <row r="199" spans="4:8" x14ac:dyDescent="0.3">
      <c r="D199" t="s">
        <v>295</v>
      </c>
      <c r="F199" t="s">
        <v>295</v>
      </c>
      <c r="H199" s="16"/>
    </row>
    <row r="200" spans="4:8" x14ac:dyDescent="0.3">
      <c r="D200" t="s">
        <v>295</v>
      </c>
      <c r="F200" t="s">
        <v>295</v>
      </c>
      <c r="H200" s="16"/>
    </row>
    <row r="201" spans="4:8" x14ac:dyDescent="0.3">
      <c r="D201" t="s">
        <v>295</v>
      </c>
      <c r="F201" t="s">
        <v>295</v>
      </c>
      <c r="H201" s="16"/>
    </row>
    <row r="202" spans="4:8" x14ac:dyDescent="0.3">
      <c r="D202" t="s">
        <v>295</v>
      </c>
      <c r="F202" t="s">
        <v>295</v>
      </c>
      <c r="H202" s="16"/>
    </row>
    <row r="203" spans="4:8" x14ac:dyDescent="0.3">
      <c r="D203" t="s">
        <v>295</v>
      </c>
      <c r="F203" t="s">
        <v>295</v>
      </c>
      <c r="H203" s="16"/>
    </row>
    <row r="204" spans="4:8" x14ac:dyDescent="0.3">
      <c r="D204" t="s">
        <v>295</v>
      </c>
      <c r="F204" t="s">
        <v>295</v>
      </c>
      <c r="H204" s="16"/>
    </row>
    <row r="205" spans="4:8" x14ac:dyDescent="0.3">
      <c r="D205" t="s">
        <v>295</v>
      </c>
      <c r="F205" t="s">
        <v>295</v>
      </c>
      <c r="H205" s="16"/>
    </row>
    <row r="206" spans="4:8" x14ac:dyDescent="0.3">
      <c r="D206" t="s">
        <v>295</v>
      </c>
      <c r="F206" t="s">
        <v>295</v>
      </c>
      <c r="H206" s="16"/>
    </row>
    <row r="207" spans="4:8" x14ac:dyDescent="0.3">
      <c r="D207" t="s">
        <v>295</v>
      </c>
      <c r="F207" t="s">
        <v>295</v>
      </c>
      <c r="H207" s="16"/>
    </row>
    <row r="208" spans="4:8" x14ac:dyDescent="0.3">
      <c r="D208" t="s">
        <v>295</v>
      </c>
      <c r="F208" t="s">
        <v>295</v>
      </c>
      <c r="H208" s="16"/>
    </row>
    <row r="209" spans="4:8" x14ac:dyDescent="0.3">
      <c r="D209" t="s">
        <v>295</v>
      </c>
      <c r="F209" t="s">
        <v>295</v>
      </c>
      <c r="H209" s="16"/>
    </row>
    <row r="210" spans="4:8" x14ac:dyDescent="0.3">
      <c r="D210" t="s">
        <v>295</v>
      </c>
      <c r="F210" t="s">
        <v>295</v>
      </c>
      <c r="H210" s="16"/>
    </row>
    <row r="211" spans="4:8" x14ac:dyDescent="0.3">
      <c r="D211" t="s">
        <v>295</v>
      </c>
      <c r="F211" t="s">
        <v>295</v>
      </c>
      <c r="H211" s="16"/>
    </row>
    <row r="212" spans="4:8" x14ac:dyDescent="0.3">
      <c r="D212" t="s">
        <v>295</v>
      </c>
      <c r="F212" t="s">
        <v>295</v>
      </c>
      <c r="H212" s="16"/>
    </row>
    <row r="213" spans="4:8" x14ac:dyDescent="0.3">
      <c r="D213" t="s">
        <v>295</v>
      </c>
      <c r="F213" t="s">
        <v>295</v>
      </c>
      <c r="H213" s="16"/>
    </row>
    <row r="214" spans="4:8" x14ac:dyDescent="0.3">
      <c r="D214" t="s">
        <v>295</v>
      </c>
      <c r="F214" t="s">
        <v>295</v>
      </c>
      <c r="H214" s="16"/>
    </row>
    <row r="215" spans="4:8" x14ac:dyDescent="0.3">
      <c r="D215" t="s">
        <v>295</v>
      </c>
      <c r="F215" t="s">
        <v>295</v>
      </c>
      <c r="H215" s="16"/>
    </row>
    <row r="216" spans="4:8" x14ac:dyDescent="0.3">
      <c r="D216" t="s">
        <v>295</v>
      </c>
      <c r="F216" t="s">
        <v>295</v>
      </c>
      <c r="H216" s="16"/>
    </row>
    <row r="217" spans="4:8" x14ac:dyDescent="0.3">
      <c r="D217" t="s">
        <v>295</v>
      </c>
      <c r="F217" t="s">
        <v>295</v>
      </c>
      <c r="H217" s="16"/>
    </row>
    <row r="218" spans="4:8" x14ac:dyDescent="0.3">
      <c r="D218" t="s">
        <v>295</v>
      </c>
      <c r="F218" t="s">
        <v>295</v>
      </c>
      <c r="H218" s="16"/>
    </row>
    <row r="219" spans="4:8" x14ac:dyDescent="0.3">
      <c r="D219" t="s">
        <v>295</v>
      </c>
      <c r="F219" t="s">
        <v>295</v>
      </c>
      <c r="H219" s="16"/>
    </row>
    <row r="220" spans="4:8" x14ac:dyDescent="0.3">
      <c r="D220" t="s">
        <v>295</v>
      </c>
      <c r="F220" t="s">
        <v>295</v>
      </c>
      <c r="H220" s="16"/>
    </row>
    <row r="221" spans="4:8" x14ac:dyDescent="0.3">
      <c r="D221" t="s">
        <v>295</v>
      </c>
      <c r="F221" t="s">
        <v>295</v>
      </c>
      <c r="H221" s="16"/>
    </row>
    <row r="222" spans="4:8" x14ac:dyDescent="0.3">
      <c r="D222" t="s">
        <v>295</v>
      </c>
      <c r="F222" t="s">
        <v>295</v>
      </c>
      <c r="H222" s="16"/>
    </row>
    <row r="223" spans="4:8" x14ac:dyDescent="0.3">
      <c r="D223" t="s">
        <v>295</v>
      </c>
      <c r="F223" t="s">
        <v>295</v>
      </c>
      <c r="H223" s="16"/>
    </row>
    <row r="224" spans="4:8" x14ac:dyDescent="0.3">
      <c r="D224" t="s">
        <v>295</v>
      </c>
      <c r="F224" t="s">
        <v>295</v>
      </c>
      <c r="H224" s="16"/>
    </row>
    <row r="225" spans="4:8" x14ac:dyDescent="0.3">
      <c r="D225" t="s">
        <v>295</v>
      </c>
      <c r="F225" t="s">
        <v>295</v>
      </c>
      <c r="H225" s="16"/>
    </row>
    <row r="226" spans="4:8" x14ac:dyDescent="0.3">
      <c r="D226" t="s">
        <v>295</v>
      </c>
      <c r="F226" t="s">
        <v>295</v>
      </c>
      <c r="H226" s="16"/>
    </row>
    <row r="227" spans="4:8" x14ac:dyDescent="0.3">
      <c r="D227" t="s">
        <v>295</v>
      </c>
      <c r="F227" t="s">
        <v>295</v>
      </c>
      <c r="H227" s="16"/>
    </row>
    <row r="228" spans="4:8" x14ac:dyDescent="0.3">
      <c r="D228" t="s">
        <v>295</v>
      </c>
      <c r="F228" t="s">
        <v>295</v>
      </c>
      <c r="H228" s="16"/>
    </row>
    <row r="229" spans="4:8" x14ac:dyDescent="0.3">
      <c r="D229" t="s">
        <v>295</v>
      </c>
      <c r="F229" t="s">
        <v>295</v>
      </c>
      <c r="H229" s="16"/>
    </row>
    <row r="230" spans="4:8" x14ac:dyDescent="0.3">
      <c r="D230" t="s">
        <v>295</v>
      </c>
      <c r="F230" t="s">
        <v>295</v>
      </c>
      <c r="H230" s="16"/>
    </row>
    <row r="231" spans="4:8" x14ac:dyDescent="0.3">
      <c r="D231" t="s">
        <v>295</v>
      </c>
      <c r="F231" t="s">
        <v>295</v>
      </c>
      <c r="H231" s="16"/>
    </row>
    <row r="232" spans="4:8" x14ac:dyDescent="0.3">
      <c r="D232" t="s">
        <v>295</v>
      </c>
      <c r="F232" t="s">
        <v>295</v>
      </c>
      <c r="H232" s="16"/>
    </row>
    <row r="233" spans="4:8" x14ac:dyDescent="0.3">
      <c r="D233" t="s">
        <v>295</v>
      </c>
      <c r="F233" t="s">
        <v>295</v>
      </c>
      <c r="H233" s="16"/>
    </row>
    <row r="234" spans="4:8" x14ac:dyDescent="0.3">
      <c r="D234" t="s">
        <v>295</v>
      </c>
      <c r="F234" t="s">
        <v>295</v>
      </c>
      <c r="H234" s="16"/>
    </row>
    <row r="235" spans="4:8" x14ac:dyDescent="0.3">
      <c r="D235" t="s">
        <v>295</v>
      </c>
      <c r="F235" t="s">
        <v>295</v>
      </c>
      <c r="H235" s="16"/>
    </row>
    <row r="236" spans="4:8" x14ac:dyDescent="0.3">
      <c r="D236" t="s">
        <v>295</v>
      </c>
      <c r="F236" t="s">
        <v>295</v>
      </c>
      <c r="H236" s="16"/>
    </row>
    <row r="237" spans="4:8" x14ac:dyDescent="0.3">
      <c r="D237" t="s">
        <v>295</v>
      </c>
      <c r="F237" t="s">
        <v>295</v>
      </c>
      <c r="H237" s="16"/>
    </row>
    <row r="238" spans="4:8" x14ac:dyDescent="0.3">
      <c r="D238" t="s">
        <v>295</v>
      </c>
      <c r="F238" t="s">
        <v>295</v>
      </c>
      <c r="H238" s="16"/>
    </row>
    <row r="239" spans="4:8" x14ac:dyDescent="0.3">
      <c r="D239" t="s">
        <v>295</v>
      </c>
      <c r="F239" t="s">
        <v>295</v>
      </c>
      <c r="H239" s="16"/>
    </row>
    <row r="240" spans="4:8" x14ac:dyDescent="0.3">
      <c r="D240" t="s">
        <v>295</v>
      </c>
      <c r="F240" t="s">
        <v>295</v>
      </c>
      <c r="H240" s="16"/>
    </row>
    <row r="241" spans="4:8" x14ac:dyDescent="0.3">
      <c r="D241" t="s">
        <v>295</v>
      </c>
      <c r="F241" t="s">
        <v>295</v>
      </c>
      <c r="H241" s="16"/>
    </row>
    <row r="242" spans="4:8" x14ac:dyDescent="0.3">
      <c r="D242" t="s">
        <v>295</v>
      </c>
      <c r="F242" t="s">
        <v>295</v>
      </c>
      <c r="H242" s="16"/>
    </row>
    <row r="243" spans="4:8" x14ac:dyDescent="0.3">
      <c r="D243" t="s">
        <v>295</v>
      </c>
      <c r="F243" t="s">
        <v>295</v>
      </c>
      <c r="H243" s="16"/>
    </row>
    <row r="244" spans="4:8" x14ac:dyDescent="0.3">
      <c r="D244" t="s">
        <v>295</v>
      </c>
      <c r="F244" t="s">
        <v>295</v>
      </c>
      <c r="H244" s="16"/>
    </row>
    <row r="245" spans="4:8" x14ac:dyDescent="0.3">
      <c r="D245" t="s">
        <v>295</v>
      </c>
      <c r="F245" t="s">
        <v>295</v>
      </c>
      <c r="H245" s="16"/>
    </row>
    <row r="246" spans="4:8" x14ac:dyDescent="0.3">
      <c r="D246" t="s">
        <v>295</v>
      </c>
      <c r="F246" t="s">
        <v>295</v>
      </c>
      <c r="H246" s="16"/>
    </row>
    <row r="247" spans="4:8" x14ac:dyDescent="0.3">
      <c r="D247" t="s">
        <v>295</v>
      </c>
      <c r="F247" t="s">
        <v>295</v>
      </c>
      <c r="H247" s="16"/>
    </row>
    <row r="248" spans="4:8" x14ac:dyDescent="0.3">
      <c r="D248" t="s">
        <v>295</v>
      </c>
      <c r="F248" t="s">
        <v>295</v>
      </c>
      <c r="H248" s="16"/>
    </row>
    <row r="249" spans="4:8" x14ac:dyDescent="0.3">
      <c r="D249" t="s">
        <v>295</v>
      </c>
      <c r="F249" t="s">
        <v>295</v>
      </c>
      <c r="H249" s="16"/>
    </row>
    <row r="250" spans="4:8" x14ac:dyDescent="0.3">
      <c r="D250" t="s">
        <v>295</v>
      </c>
      <c r="F250" t="s">
        <v>295</v>
      </c>
      <c r="H250" s="16"/>
    </row>
    <row r="251" spans="4:8" x14ac:dyDescent="0.3">
      <c r="D251" t="s">
        <v>295</v>
      </c>
      <c r="F251" t="s">
        <v>295</v>
      </c>
      <c r="H251" s="16"/>
    </row>
    <row r="252" spans="4:8" x14ac:dyDescent="0.3">
      <c r="D252" t="s">
        <v>295</v>
      </c>
      <c r="F252" t="s">
        <v>295</v>
      </c>
      <c r="H252" s="16"/>
    </row>
    <row r="253" spans="4:8" x14ac:dyDescent="0.3">
      <c r="D253" t="s">
        <v>295</v>
      </c>
      <c r="F253" t="s">
        <v>295</v>
      </c>
      <c r="H253" s="16"/>
    </row>
    <row r="254" spans="4:8" x14ac:dyDescent="0.3">
      <c r="D254" t="s">
        <v>295</v>
      </c>
      <c r="F254" t="s">
        <v>295</v>
      </c>
      <c r="H254" s="16"/>
    </row>
    <row r="255" spans="4:8" x14ac:dyDescent="0.3">
      <c r="D255" t="s">
        <v>295</v>
      </c>
      <c r="F255" t="s">
        <v>295</v>
      </c>
      <c r="H255" s="16"/>
    </row>
    <row r="256" spans="4:8" x14ac:dyDescent="0.3">
      <c r="D256" t="s">
        <v>295</v>
      </c>
      <c r="F256" t="s">
        <v>295</v>
      </c>
      <c r="H256" s="16"/>
    </row>
    <row r="257" spans="4:8" x14ac:dyDescent="0.3">
      <c r="D257" t="s">
        <v>295</v>
      </c>
      <c r="F257" t="s">
        <v>295</v>
      </c>
      <c r="H257" s="16"/>
    </row>
    <row r="258" spans="4:8" x14ac:dyDescent="0.3">
      <c r="D258" t="s">
        <v>295</v>
      </c>
      <c r="F258" t="s">
        <v>295</v>
      </c>
      <c r="H258" s="16"/>
    </row>
    <row r="259" spans="4:8" x14ac:dyDescent="0.3">
      <c r="D259" t="s">
        <v>295</v>
      </c>
      <c r="F259" t="s">
        <v>295</v>
      </c>
      <c r="H259" s="16"/>
    </row>
    <row r="260" spans="4:8" x14ac:dyDescent="0.3">
      <c r="D260" t="s">
        <v>295</v>
      </c>
      <c r="F260" t="s">
        <v>295</v>
      </c>
      <c r="H260" s="16"/>
    </row>
    <row r="261" spans="4:8" x14ac:dyDescent="0.3">
      <c r="D261" t="s">
        <v>295</v>
      </c>
      <c r="F261" t="s">
        <v>295</v>
      </c>
      <c r="H261" s="16"/>
    </row>
    <row r="262" spans="4:8" x14ac:dyDescent="0.3">
      <c r="D262" t="s">
        <v>295</v>
      </c>
      <c r="F262" t="s">
        <v>295</v>
      </c>
      <c r="H262" s="16"/>
    </row>
    <row r="263" spans="4:8" x14ac:dyDescent="0.3">
      <c r="D263" t="s">
        <v>295</v>
      </c>
      <c r="F263" t="s">
        <v>295</v>
      </c>
      <c r="H263" s="16"/>
    </row>
    <row r="264" spans="4:8" x14ac:dyDescent="0.3">
      <c r="D264" t="s">
        <v>295</v>
      </c>
      <c r="F264" t="s">
        <v>295</v>
      </c>
      <c r="H264" s="16"/>
    </row>
    <row r="265" spans="4:8" x14ac:dyDescent="0.3">
      <c r="D265" t="s">
        <v>295</v>
      </c>
      <c r="F265" t="s">
        <v>295</v>
      </c>
      <c r="H265" s="16"/>
    </row>
    <row r="266" spans="4:8" x14ac:dyDescent="0.3">
      <c r="D266" t="s">
        <v>295</v>
      </c>
      <c r="F266" t="s">
        <v>295</v>
      </c>
      <c r="H266" s="16"/>
    </row>
    <row r="267" spans="4:8" x14ac:dyDescent="0.3">
      <c r="D267" t="s">
        <v>295</v>
      </c>
      <c r="F267" t="s">
        <v>295</v>
      </c>
      <c r="H267" s="16"/>
    </row>
    <row r="268" spans="4:8" x14ac:dyDescent="0.3">
      <c r="D268" t="s">
        <v>295</v>
      </c>
      <c r="F268" t="s">
        <v>295</v>
      </c>
      <c r="H268" s="16"/>
    </row>
    <row r="269" spans="4:8" x14ac:dyDescent="0.3">
      <c r="D269" t="s">
        <v>295</v>
      </c>
      <c r="F269" t="s">
        <v>295</v>
      </c>
      <c r="H269" s="16"/>
    </row>
    <row r="270" spans="4:8" x14ac:dyDescent="0.3">
      <c r="D270" t="s">
        <v>295</v>
      </c>
      <c r="F270" t="s">
        <v>295</v>
      </c>
      <c r="H270" s="16"/>
    </row>
    <row r="271" spans="4:8" x14ac:dyDescent="0.3">
      <c r="D271" t="s">
        <v>295</v>
      </c>
      <c r="F271" t="s">
        <v>295</v>
      </c>
      <c r="H271" s="16"/>
    </row>
    <row r="272" spans="4:8" x14ac:dyDescent="0.3">
      <c r="D272" t="s">
        <v>295</v>
      </c>
      <c r="F272" t="s">
        <v>295</v>
      </c>
      <c r="H272" s="16"/>
    </row>
    <row r="273" spans="4:8" x14ac:dyDescent="0.3">
      <c r="D273" t="s">
        <v>295</v>
      </c>
      <c r="F273" t="s">
        <v>295</v>
      </c>
      <c r="H273" s="16"/>
    </row>
    <row r="274" spans="4:8" x14ac:dyDescent="0.3">
      <c r="D274" t="s">
        <v>295</v>
      </c>
      <c r="F274" t="s">
        <v>295</v>
      </c>
      <c r="H274" s="16"/>
    </row>
    <row r="275" spans="4:8" x14ac:dyDescent="0.3">
      <c r="D275" t="s">
        <v>295</v>
      </c>
      <c r="F275" t="s">
        <v>295</v>
      </c>
      <c r="H275" s="16"/>
    </row>
    <row r="276" spans="4:8" x14ac:dyDescent="0.3">
      <c r="D276" t="s">
        <v>295</v>
      </c>
      <c r="F276" t="s">
        <v>295</v>
      </c>
      <c r="H276" s="16"/>
    </row>
    <row r="277" spans="4:8" x14ac:dyDescent="0.3">
      <c r="D277" t="s">
        <v>295</v>
      </c>
      <c r="F277" t="s">
        <v>295</v>
      </c>
      <c r="H277" s="16"/>
    </row>
    <row r="278" spans="4:8" x14ac:dyDescent="0.3">
      <c r="D278" t="s">
        <v>295</v>
      </c>
      <c r="F278" t="s">
        <v>295</v>
      </c>
      <c r="H278" s="16"/>
    </row>
    <row r="279" spans="4:8" x14ac:dyDescent="0.3">
      <c r="D279" t="s">
        <v>295</v>
      </c>
      <c r="F279" t="s">
        <v>295</v>
      </c>
      <c r="H279" s="16"/>
    </row>
    <row r="280" spans="4:8" x14ac:dyDescent="0.3">
      <c r="D280" t="s">
        <v>295</v>
      </c>
      <c r="F280" t="s">
        <v>295</v>
      </c>
      <c r="H280" s="16"/>
    </row>
    <row r="281" spans="4:8" x14ac:dyDescent="0.3">
      <c r="D281" t="s">
        <v>295</v>
      </c>
      <c r="F281" t="s">
        <v>295</v>
      </c>
      <c r="H281" s="16"/>
    </row>
    <row r="282" spans="4:8" x14ac:dyDescent="0.3">
      <c r="D282" t="s">
        <v>295</v>
      </c>
      <c r="F282" t="s">
        <v>295</v>
      </c>
      <c r="H282" s="16"/>
    </row>
    <row r="283" spans="4:8" x14ac:dyDescent="0.3">
      <c r="D283" t="s">
        <v>295</v>
      </c>
      <c r="F283" t="s">
        <v>295</v>
      </c>
      <c r="H283" s="16"/>
    </row>
    <row r="284" spans="4:8" x14ac:dyDescent="0.3">
      <c r="D284" t="s">
        <v>295</v>
      </c>
      <c r="F284" t="s">
        <v>295</v>
      </c>
      <c r="H284" s="16"/>
    </row>
    <row r="285" spans="4:8" x14ac:dyDescent="0.3">
      <c r="D285" t="s">
        <v>295</v>
      </c>
      <c r="F285" t="s">
        <v>295</v>
      </c>
      <c r="H285" s="16"/>
    </row>
    <row r="286" spans="4:8" x14ac:dyDescent="0.3">
      <c r="D286" t="s">
        <v>295</v>
      </c>
      <c r="F286" t="s">
        <v>295</v>
      </c>
      <c r="H286" s="16"/>
    </row>
    <row r="287" spans="4:8" x14ac:dyDescent="0.3">
      <c r="D287" t="s">
        <v>295</v>
      </c>
      <c r="F287" t="s">
        <v>295</v>
      </c>
      <c r="H287" s="16"/>
    </row>
    <row r="288" spans="4:8" x14ac:dyDescent="0.3">
      <c r="D288" t="s">
        <v>295</v>
      </c>
      <c r="F288" t="s">
        <v>295</v>
      </c>
      <c r="H288" s="16"/>
    </row>
    <row r="289" spans="4:8" x14ac:dyDescent="0.3">
      <c r="D289" t="s">
        <v>295</v>
      </c>
      <c r="F289" t="s">
        <v>295</v>
      </c>
      <c r="H289" s="16"/>
    </row>
    <row r="290" spans="4:8" x14ac:dyDescent="0.3">
      <c r="D290" t="s">
        <v>295</v>
      </c>
      <c r="F290" t="s">
        <v>295</v>
      </c>
      <c r="H290" s="16"/>
    </row>
    <row r="291" spans="4:8" x14ac:dyDescent="0.3">
      <c r="D291" t="s">
        <v>295</v>
      </c>
      <c r="F291" t="s">
        <v>295</v>
      </c>
      <c r="H291" s="16"/>
    </row>
    <row r="292" spans="4:8" x14ac:dyDescent="0.3">
      <c r="D292" t="s">
        <v>295</v>
      </c>
      <c r="F292" t="s">
        <v>295</v>
      </c>
      <c r="H292" s="16"/>
    </row>
    <row r="293" spans="4:8" x14ac:dyDescent="0.3">
      <c r="D293" t="s">
        <v>295</v>
      </c>
      <c r="F293" t="s">
        <v>295</v>
      </c>
      <c r="H293" s="16"/>
    </row>
    <row r="294" spans="4:8" x14ac:dyDescent="0.3">
      <c r="D294" t="s">
        <v>295</v>
      </c>
      <c r="F294" t="s">
        <v>295</v>
      </c>
      <c r="H294" s="16"/>
    </row>
    <row r="295" spans="4:8" x14ac:dyDescent="0.3">
      <c r="D295" t="s">
        <v>295</v>
      </c>
      <c r="F295" t="s">
        <v>295</v>
      </c>
      <c r="H295" s="16"/>
    </row>
    <row r="296" spans="4:8" x14ac:dyDescent="0.3">
      <c r="D296" t="s">
        <v>295</v>
      </c>
      <c r="F296" t="s">
        <v>295</v>
      </c>
      <c r="H296" s="16"/>
    </row>
    <row r="297" spans="4:8" x14ac:dyDescent="0.3">
      <c r="D297" t="s">
        <v>295</v>
      </c>
      <c r="F297" t="s">
        <v>295</v>
      </c>
      <c r="H297" s="16"/>
    </row>
    <row r="298" spans="4:8" x14ac:dyDescent="0.3">
      <c r="D298" t="s">
        <v>295</v>
      </c>
      <c r="F298" t="s">
        <v>295</v>
      </c>
      <c r="H298" s="16"/>
    </row>
    <row r="299" spans="4:8" x14ac:dyDescent="0.3">
      <c r="D299" t="s">
        <v>295</v>
      </c>
      <c r="F299" t="s">
        <v>295</v>
      </c>
      <c r="H299" s="16"/>
    </row>
    <row r="300" spans="4:8" x14ac:dyDescent="0.3">
      <c r="D300" t="s">
        <v>295</v>
      </c>
      <c r="F300" t="s">
        <v>295</v>
      </c>
      <c r="H300" s="16"/>
    </row>
    <row r="301" spans="4:8" x14ac:dyDescent="0.3">
      <c r="D301" t="s">
        <v>295</v>
      </c>
      <c r="F301" t="s">
        <v>295</v>
      </c>
      <c r="H301" s="16"/>
    </row>
    <row r="302" spans="4:8" x14ac:dyDescent="0.3">
      <c r="D302" t="s">
        <v>295</v>
      </c>
      <c r="F302" t="s">
        <v>295</v>
      </c>
      <c r="H302" s="16"/>
    </row>
    <row r="303" spans="4:8" x14ac:dyDescent="0.3">
      <c r="D303" t="s">
        <v>295</v>
      </c>
      <c r="F303" t="s">
        <v>295</v>
      </c>
      <c r="H303" s="16"/>
    </row>
    <row r="304" spans="4:8" x14ac:dyDescent="0.3">
      <c r="D304" t="s">
        <v>295</v>
      </c>
      <c r="F304" t="s">
        <v>295</v>
      </c>
      <c r="H304" s="16"/>
    </row>
    <row r="305" spans="4:8" x14ac:dyDescent="0.3">
      <c r="D305" t="s">
        <v>295</v>
      </c>
      <c r="F305" t="s">
        <v>295</v>
      </c>
      <c r="H305" s="16"/>
    </row>
    <row r="306" spans="4:8" x14ac:dyDescent="0.3">
      <c r="D306" t="s">
        <v>295</v>
      </c>
      <c r="F306" t="s">
        <v>295</v>
      </c>
      <c r="H306" s="16"/>
    </row>
    <row r="307" spans="4:8" x14ac:dyDescent="0.3">
      <c r="D307" t="s">
        <v>295</v>
      </c>
      <c r="F307" t="s">
        <v>295</v>
      </c>
      <c r="H307" s="16"/>
    </row>
    <row r="308" spans="4:8" x14ac:dyDescent="0.3">
      <c r="D308" t="s">
        <v>295</v>
      </c>
      <c r="F308" t="s">
        <v>295</v>
      </c>
      <c r="H308" s="16"/>
    </row>
    <row r="309" spans="4:8" x14ac:dyDescent="0.3">
      <c r="D309" t="s">
        <v>295</v>
      </c>
      <c r="F309" t="s">
        <v>295</v>
      </c>
      <c r="H309" s="16"/>
    </row>
    <row r="310" spans="4:8" x14ac:dyDescent="0.3">
      <c r="D310" t="s">
        <v>295</v>
      </c>
      <c r="F310" t="s">
        <v>295</v>
      </c>
      <c r="H310" s="16"/>
    </row>
    <row r="311" spans="4:8" x14ac:dyDescent="0.3">
      <c r="D311" t="s">
        <v>295</v>
      </c>
      <c r="F311" t="s">
        <v>295</v>
      </c>
      <c r="H311" s="16"/>
    </row>
    <row r="312" spans="4:8" x14ac:dyDescent="0.3">
      <c r="D312" t="s">
        <v>295</v>
      </c>
      <c r="F312" t="s">
        <v>295</v>
      </c>
      <c r="H312" s="16"/>
    </row>
    <row r="313" spans="4:8" x14ac:dyDescent="0.3">
      <c r="D313" t="s">
        <v>295</v>
      </c>
      <c r="F313" t="s">
        <v>295</v>
      </c>
      <c r="H313" s="16"/>
    </row>
    <row r="314" spans="4:8" x14ac:dyDescent="0.3">
      <c r="D314" t="s">
        <v>295</v>
      </c>
      <c r="F314" t="s">
        <v>295</v>
      </c>
      <c r="H314" s="16"/>
    </row>
    <row r="315" spans="4:8" x14ac:dyDescent="0.3">
      <c r="D315" t="s">
        <v>295</v>
      </c>
      <c r="F315" t="s">
        <v>295</v>
      </c>
      <c r="H315" s="16"/>
    </row>
    <row r="316" spans="4:8" x14ac:dyDescent="0.3">
      <c r="D316" t="s">
        <v>295</v>
      </c>
      <c r="F316" t="s">
        <v>295</v>
      </c>
      <c r="H316" s="16"/>
    </row>
    <row r="317" spans="4:8" x14ac:dyDescent="0.3">
      <c r="D317" t="s">
        <v>295</v>
      </c>
      <c r="F317" t="s">
        <v>295</v>
      </c>
      <c r="H317" s="16"/>
    </row>
    <row r="318" spans="4:8" x14ac:dyDescent="0.3">
      <c r="D318" t="s">
        <v>295</v>
      </c>
      <c r="F318" t="s">
        <v>295</v>
      </c>
      <c r="H318" s="16"/>
    </row>
    <row r="319" spans="4:8" x14ac:dyDescent="0.3">
      <c r="D319" t="s">
        <v>295</v>
      </c>
      <c r="F319" t="s">
        <v>295</v>
      </c>
      <c r="H319" s="16"/>
    </row>
    <row r="320" spans="4:8" x14ac:dyDescent="0.3">
      <c r="D320" t="s">
        <v>295</v>
      </c>
      <c r="F320" t="s">
        <v>295</v>
      </c>
      <c r="H320" s="16"/>
    </row>
    <row r="321" spans="4:8" x14ac:dyDescent="0.3">
      <c r="D321" t="s">
        <v>295</v>
      </c>
      <c r="F321" t="s">
        <v>295</v>
      </c>
      <c r="H321" s="16"/>
    </row>
    <row r="322" spans="4:8" x14ac:dyDescent="0.3">
      <c r="D322" t="s">
        <v>295</v>
      </c>
      <c r="F322" t="s">
        <v>295</v>
      </c>
      <c r="H322" s="16"/>
    </row>
    <row r="323" spans="4:8" x14ac:dyDescent="0.3">
      <c r="D323" t="s">
        <v>295</v>
      </c>
      <c r="F323" t="s">
        <v>295</v>
      </c>
      <c r="H323" s="16"/>
    </row>
    <row r="324" spans="4:8" x14ac:dyDescent="0.3">
      <c r="D324" t="s">
        <v>295</v>
      </c>
      <c r="F324" t="s">
        <v>295</v>
      </c>
      <c r="H324" s="16"/>
    </row>
    <row r="325" spans="4:8" x14ac:dyDescent="0.3">
      <c r="D325" t="s">
        <v>295</v>
      </c>
      <c r="F325" t="s">
        <v>295</v>
      </c>
      <c r="H325" s="16"/>
    </row>
    <row r="326" spans="4:8" x14ac:dyDescent="0.3">
      <c r="D326" t="s">
        <v>295</v>
      </c>
      <c r="F326" t="s">
        <v>295</v>
      </c>
      <c r="H326" s="16"/>
    </row>
    <row r="327" spans="4:8" x14ac:dyDescent="0.3">
      <c r="D327" t="s">
        <v>295</v>
      </c>
      <c r="F327" t="s">
        <v>295</v>
      </c>
      <c r="H327" s="16"/>
    </row>
    <row r="328" spans="4:8" x14ac:dyDescent="0.3">
      <c r="D328" t="s">
        <v>295</v>
      </c>
      <c r="F328" t="s">
        <v>295</v>
      </c>
      <c r="H328" s="16"/>
    </row>
    <row r="329" spans="4:8" x14ac:dyDescent="0.3">
      <c r="D329" t="s">
        <v>295</v>
      </c>
      <c r="F329" t="s">
        <v>295</v>
      </c>
      <c r="H329" s="16"/>
    </row>
    <row r="330" spans="4:8" x14ac:dyDescent="0.3">
      <c r="D330" t="s">
        <v>295</v>
      </c>
      <c r="F330" t="s">
        <v>295</v>
      </c>
      <c r="H330" s="16"/>
    </row>
    <row r="331" spans="4:8" x14ac:dyDescent="0.3">
      <c r="D331" t="s">
        <v>295</v>
      </c>
      <c r="F331" t="s">
        <v>295</v>
      </c>
      <c r="H331" s="16"/>
    </row>
    <row r="332" spans="4:8" x14ac:dyDescent="0.3">
      <c r="D332" t="s">
        <v>295</v>
      </c>
      <c r="F332" t="s">
        <v>295</v>
      </c>
      <c r="H332" s="16"/>
    </row>
    <row r="333" spans="4:8" x14ac:dyDescent="0.3">
      <c r="D333" t="s">
        <v>295</v>
      </c>
      <c r="F333" t="s">
        <v>295</v>
      </c>
      <c r="H333" s="16"/>
    </row>
    <row r="334" spans="4:8" x14ac:dyDescent="0.3">
      <c r="D334" t="s">
        <v>295</v>
      </c>
      <c r="F334" t="s">
        <v>295</v>
      </c>
      <c r="H334" s="16"/>
    </row>
    <row r="335" spans="4:8" x14ac:dyDescent="0.3">
      <c r="D335" t="s">
        <v>295</v>
      </c>
      <c r="F335" t="s">
        <v>295</v>
      </c>
      <c r="H335" s="16"/>
    </row>
    <row r="336" spans="4:8" x14ac:dyDescent="0.3">
      <c r="D336" t="s">
        <v>295</v>
      </c>
      <c r="F336" t="s">
        <v>295</v>
      </c>
      <c r="H336" s="16"/>
    </row>
    <row r="337" spans="4:8" x14ac:dyDescent="0.3">
      <c r="D337" t="s">
        <v>295</v>
      </c>
      <c r="F337" t="s">
        <v>295</v>
      </c>
      <c r="H337" s="16"/>
    </row>
    <row r="338" spans="4:8" x14ac:dyDescent="0.3">
      <c r="D338" t="s">
        <v>295</v>
      </c>
      <c r="F338" t="s">
        <v>295</v>
      </c>
      <c r="H338" s="16"/>
    </row>
    <row r="339" spans="4:8" x14ac:dyDescent="0.3">
      <c r="D339" t="s">
        <v>295</v>
      </c>
      <c r="F339" t="s">
        <v>295</v>
      </c>
      <c r="H339" s="16"/>
    </row>
    <row r="340" spans="4:8" x14ac:dyDescent="0.3">
      <c r="D340" t="s">
        <v>295</v>
      </c>
      <c r="F340" t="s">
        <v>295</v>
      </c>
      <c r="H340" s="16"/>
    </row>
    <row r="341" spans="4:8" x14ac:dyDescent="0.3">
      <c r="D341" t="s">
        <v>295</v>
      </c>
      <c r="F341" t="s">
        <v>295</v>
      </c>
      <c r="H341" s="16"/>
    </row>
    <row r="342" spans="4:8" x14ac:dyDescent="0.3">
      <c r="D342" t="s">
        <v>295</v>
      </c>
      <c r="F342" t="s">
        <v>295</v>
      </c>
      <c r="H342" s="16"/>
    </row>
    <row r="343" spans="4:8" x14ac:dyDescent="0.3">
      <c r="D343" t="s">
        <v>295</v>
      </c>
      <c r="F343" t="s">
        <v>295</v>
      </c>
      <c r="H343" s="16"/>
    </row>
    <row r="344" spans="4:8" x14ac:dyDescent="0.3">
      <c r="D344" t="s">
        <v>295</v>
      </c>
      <c r="F344" t="s">
        <v>295</v>
      </c>
      <c r="H344" s="16"/>
    </row>
    <row r="345" spans="4:8" x14ac:dyDescent="0.3">
      <c r="D345" t="s">
        <v>295</v>
      </c>
      <c r="F345" t="s">
        <v>295</v>
      </c>
      <c r="H345" s="16"/>
    </row>
    <row r="346" spans="4:8" x14ac:dyDescent="0.3">
      <c r="D346" t="s">
        <v>295</v>
      </c>
      <c r="F346" t="s">
        <v>295</v>
      </c>
      <c r="H346" s="16"/>
    </row>
    <row r="347" spans="4:8" x14ac:dyDescent="0.3">
      <c r="D347" t="s">
        <v>295</v>
      </c>
      <c r="F347" t="s">
        <v>295</v>
      </c>
      <c r="H347" s="16"/>
    </row>
    <row r="348" spans="4:8" x14ac:dyDescent="0.3">
      <c r="D348" t="s">
        <v>295</v>
      </c>
      <c r="F348" t="s">
        <v>295</v>
      </c>
      <c r="H348" s="16"/>
    </row>
    <row r="349" spans="4:8" x14ac:dyDescent="0.3">
      <c r="D349" t="s">
        <v>295</v>
      </c>
      <c r="F349" t="s">
        <v>295</v>
      </c>
      <c r="H349" s="16"/>
    </row>
    <row r="350" spans="4:8" x14ac:dyDescent="0.3">
      <c r="D350" t="s">
        <v>295</v>
      </c>
      <c r="F350" t="s">
        <v>295</v>
      </c>
      <c r="H350" s="16"/>
    </row>
    <row r="351" spans="4:8" x14ac:dyDescent="0.3">
      <c r="D351" t="s">
        <v>295</v>
      </c>
      <c r="F351" t="s">
        <v>295</v>
      </c>
      <c r="H351" s="16"/>
    </row>
    <row r="352" spans="4:8" x14ac:dyDescent="0.3">
      <c r="D352" t="s">
        <v>295</v>
      </c>
      <c r="F352" t="s">
        <v>295</v>
      </c>
      <c r="H352" s="16"/>
    </row>
    <row r="353" spans="4:8" x14ac:dyDescent="0.3">
      <c r="D353" t="s">
        <v>295</v>
      </c>
      <c r="F353" t="s">
        <v>295</v>
      </c>
      <c r="H353" s="16"/>
    </row>
    <row r="354" spans="4:8" x14ac:dyDescent="0.3">
      <c r="D354" t="s">
        <v>295</v>
      </c>
      <c r="F354" t="s">
        <v>295</v>
      </c>
      <c r="H354" s="16"/>
    </row>
    <row r="355" spans="4:8" x14ac:dyDescent="0.3">
      <c r="D355" t="s">
        <v>295</v>
      </c>
      <c r="F355" t="s">
        <v>295</v>
      </c>
      <c r="H355" s="16"/>
    </row>
    <row r="356" spans="4:8" x14ac:dyDescent="0.3">
      <c r="D356" t="s">
        <v>295</v>
      </c>
      <c r="F356" t="s">
        <v>295</v>
      </c>
      <c r="H356" s="16"/>
    </row>
    <row r="357" spans="4:8" x14ac:dyDescent="0.3">
      <c r="D357" t="s">
        <v>295</v>
      </c>
      <c r="F357" t="s">
        <v>295</v>
      </c>
      <c r="H357" s="16"/>
    </row>
    <row r="358" spans="4:8" x14ac:dyDescent="0.3">
      <c r="D358" t="s">
        <v>295</v>
      </c>
      <c r="F358" t="s">
        <v>295</v>
      </c>
      <c r="H358" s="16"/>
    </row>
    <row r="359" spans="4:8" x14ac:dyDescent="0.3">
      <c r="D359" t="s">
        <v>295</v>
      </c>
      <c r="F359" t="s">
        <v>295</v>
      </c>
      <c r="H359" s="16"/>
    </row>
    <row r="360" spans="4:8" x14ac:dyDescent="0.3">
      <c r="D360" t="s">
        <v>295</v>
      </c>
      <c r="F360" t="s">
        <v>295</v>
      </c>
      <c r="H360" s="16"/>
    </row>
    <row r="361" spans="4:8" x14ac:dyDescent="0.3">
      <c r="D361" t="s">
        <v>295</v>
      </c>
      <c r="F361" t="s">
        <v>295</v>
      </c>
      <c r="H361" s="16"/>
    </row>
    <row r="362" spans="4:8" x14ac:dyDescent="0.3">
      <c r="D362" t="s">
        <v>295</v>
      </c>
      <c r="F362" t="s">
        <v>295</v>
      </c>
      <c r="H362" s="16"/>
    </row>
    <row r="363" spans="4:8" x14ac:dyDescent="0.3">
      <c r="D363" t="s">
        <v>295</v>
      </c>
      <c r="F363" t="s">
        <v>295</v>
      </c>
      <c r="H363" s="16"/>
    </row>
    <row r="364" spans="4:8" x14ac:dyDescent="0.3">
      <c r="D364" t="s">
        <v>295</v>
      </c>
      <c r="F364" t="s">
        <v>295</v>
      </c>
      <c r="H364" s="16"/>
    </row>
    <row r="365" spans="4:8" x14ac:dyDescent="0.3">
      <c r="D365" t="s">
        <v>295</v>
      </c>
      <c r="F365" t="s">
        <v>295</v>
      </c>
      <c r="H365" s="16"/>
    </row>
    <row r="366" spans="4:8" x14ac:dyDescent="0.3">
      <c r="D366" t="s">
        <v>295</v>
      </c>
      <c r="F366" t="s">
        <v>295</v>
      </c>
      <c r="H366" s="16"/>
    </row>
    <row r="367" spans="4:8" x14ac:dyDescent="0.3">
      <c r="D367" t="s">
        <v>295</v>
      </c>
      <c r="F367" t="s">
        <v>295</v>
      </c>
      <c r="H367" s="16"/>
    </row>
    <row r="368" spans="4:8" x14ac:dyDescent="0.3">
      <c r="D368" t="s">
        <v>295</v>
      </c>
      <c r="F368" t="s">
        <v>295</v>
      </c>
      <c r="H368" s="16"/>
    </row>
    <row r="369" spans="4:8" x14ac:dyDescent="0.3">
      <c r="D369" t="s">
        <v>295</v>
      </c>
      <c r="F369" t="s">
        <v>295</v>
      </c>
      <c r="H369" s="16"/>
    </row>
    <row r="370" spans="4:8" x14ac:dyDescent="0.3">
      <c r="D370" t="s">
        <v>295</v>
      </c>
      <c r="F370" t="s">
        <v>295</v>
      </c>
      <c r="H370" s="16"/>
    </row>
    <row r="371" spans="4:8" x14ac:dyDescent="0.3">
      <c r="D371" t="s">
        <v>295</v>
      </c>
      <c r="F371" t="s">
        <v>295</v>
      </c>
      <c r="H371" s="16"/>
    </row>
    <row r="372" spans="4:8" x14ac:dyDescent="0.3">
      <c r="D372" t="s">
        <v>295</v>
      </c>
      <c r="F372" t="s">
        <v>295</v>
      </c>
      <c r="H372" s="16"/>
    </row>
    <row r="373" spans="4:8" x14ac:dyDescent="0.3">
      <c r="D373" t="s">
        <v>295</v>
      </c>
      <c r="F373" t="s">
        <v>295</v>
      </c>
      <c r="H373" s="16"/>
    </row>
    <row r="374" spans="4:8" x14ac:dyDescent="0.3">
      <c r="D374" t="s">
        <v>295</v>
      </c>
      <c r="F374" t="s">
        <v>295</v>
      </c>
      <c r="H374" s="16"/>
    </row>
    <row r="375" spans="4:8" x14ac:dyDescent="0.3">
      <c r="D375" t="s">
        <v>295</v>
      </c>
      <c r="F375" t="s">
        <v>295</v>
      </c>
      <c r="H375" s="16"/>
    </row>
    <row r="376" spans="4:8" x14ac:dyDescent="0.3">
      <c r="D376" t="s">
        <v>295</v>
      </c>
      <c r="F376" t="s">
        <v>295</v>
      </c>
      <c r="H376" s="16"/>
    </row>
    <row r="377" spans="4:8" x14ac:dyDescent="0.3">
      <c r="D377" t="s">
        <v>295</v>
      </c>
      <c r="F377" t="s">
        <v>295</v>
      </c>
      <c r="H377" s="16"/>
    </row>
    <row r="378" spans="4:8" x14ac:dyDescent="0.3">
      <c r="D378" t="s">
        <v>295</v>
      </c>
      <c r="F378" t="s">
        <v>295</v>
      </c>
      <c r="H378" s="16"/>
    </row>
    <row r="379" spans="4:8" x14ac:dyDescent="0.3">
      <c r="D379" t="s">
        <v>295</v>
      </c>
      <c r="F379" t="s">
        <v>295</v>
      </c>
      <c r="H379" s="16"/>
    </row>
    <row r="380" spans="4:8" x14ac:dyDescent="0.3">
      <c r="D380" t="s">
        <v>295</v>
      </c>
      <c r="F380" t="s">
        <v>295</v>
      </c>
      <c r="H380" s="16"/>
    </row>
    <row r="381" spans="4:8" x14ac:dyDescent="0.3">
      <c r="D381" t="s">
        <v>295</v>
      </c>
      <c r="F381" t="s">
        <v>295</v>
      </c>
      <c r="H381" s="16"/>
    </row>
    <row r="382" spans="4:8" x14ac:dyDescent="0.3">
      <c r="D382" t="s">
        <v>295</v>
      </c>
      <c r="F382" t="s">
        <v>295</v>
      </c>
      <c r="H382" s="16"/>
    </row>
    <row r="383" spans="4:8" x14ac:dyDescent="0.3">
      <c r="D383" t="s">
        <v>295</v>
      </c>
      <c r="F383" t="s">
        <v>295</v>
      </c>
      <c r="H383" s="16"/>
    </row>
    <row r="384" spans="4:8" x14ac:dyDescent="0.3">
      <c r="D384" t="s">
        <v>295</v>
      </c>
      <c r="F384" t="s">
        <v>295</v>
      </c>
      <c r="H384" s="16"/>
    </row>
    <row r="385" spans="4:8" x14ac:dyDescent="0.3">
      <c r="D385" t="s">
        <v>295</v>
      </c>
      <c r="F385" t="s">
        <v>295</v>
      </c>
      <c r="H385" s="16"/>
    </row>
    <row r="386" spans="4:8" x14ac:dyDescent="0.3">
      <c r="D386" t="s">
        <v>295</v>
      </c>
      <c r="F386" t="s">
        <v>295</v>
      </c>
      <c r="H386" s="16"/>
    </row>
    <row r="387" spans="4:8" x14ac:dyDescent="0.3">
      <c r="D387" t="s">
        <v>295</v>
      </c>
      <c r="F387" t="s">
        <v>295</v>
      </c>
      <c r="H387" s="16"/>
    </row>
    <row r="388" spans="4:8" x14ac:dyDescent="0.3">
      <c r="D388" t="s">
        <v>295</v>
      </c>
      <c r="F388" t="s">
        <v>295</v>
      </c>
      <c r="H388" s="16"/>
    </row>
    <row r="389" spans="4:8" x14ac:dyDescent="0.3">
      <c r="D389" t="s">
        <v>295</v>
      </c>
      <c r="F389" t="s">
        <v>295</v>
      </c>
      <c r="H389" s="16"/>
    </row>
    <row r="390" spans="4:8" x14ac:dyDescent="0.3">
      <c r="D390" t="s">
        <v>295</v>
      </c>
      <c r="F390" t="s">
        <v>295</v>
      </c>
      <c r="H390" s="16"/>
    </row>
    <row r="391" spans="4:8" x14ac:dyDescent="0.3">
      <c r="D391" t="s">
        <v>295</v>
      </c>
      <c r="F391" t="s">
        <v>295</v>
      </c>
      <c r="H391" s="16"/>
    </row>
    <row r="392" spans="4:8" x14ac:dyDescent="0.3">
      <c r="D392" t="s">
        <v>295</v>
      </c>
      <c r="F392" t="s">
        <v>295</v>
      </c>
      <c r="H392" s="16"/>
    </row>
    <row r="393" spans="4:8" x14ac:dyDescent="0.3">
      <c r="D393" t="s">
        <v>295</v>
      </c>
      <c r="F393" t="s">
        <v>295</v>
      </c>
      <c r="H393" s="16"/>
    </row>
    <row r="394" spans="4:8" x14ac:dyDescent="0.3">
      <c r="D394" t="s">
        <v>295</v>
      </c>
      <c r="F394" t="s">
        <v>295</v>
      </c>
      <c r="H394" s="16"/>
    </row>
    <row r="395" spans="4:8" x14ac:dyDescent="0.3">
      <c r="D395" t="s">
        <v>295</v>
      </c>
      <c r="F395" t="s">
        <v>295</v>
      </c>
      <c r="H395" s="16"/>
    </row>
    <row r="396" spans="4:8" x14ac:dyDescent="0.3">
      <c r="D396" t="s">
        <v>295</v>
      </c>
      <c r="F396" t="s">
        <v>295</v>
      </c>
      <c r="H396" s="16"/>
    </row>
    <row r="397" spans="4:8" x14ac:dyDescent="0.3">
      <c r="D397" t="s">
        <v>295</v>
      </c>
      <c r="F397" t="s">
        <v>295</v>
      </c>
      <c r="H397" s="16"/>
    </row>
    <row r="398" spans="4:8" x14ac:dyDescent="0.3">
      <c r="D398" t="s">
        <v>295</v>
      </c>
      <c r="F398" t="s">
        <v>295</v>
      </c>
      <c r="H398" s="16"/>
    </row>
    <row r="399" spans="4:8" x14ac:dyDescent="0.3">
      <c r="D399" t="s">
        <v>295</v>
      </c>
      <c r="F399" t="s">
        <v>295</v>
      </c>
      <c r="H399" s="16"/>
    </row>
    <row r="400" spans="4:8" x14ac:dyDescent="0.3">
      <c r="D400" t="s">
        <v>295</v>
      </c>
      <c r="F400" t="s">
        <v>295</v>
      </c>
      <c r="H400" s="16"/>
    </row>
    <row r="401" spans="4:8" x14ac:dyDescent="0.3">
      <c r="D401" t="s">
        <v>295</v>
      </c>
      <c r="F401" t="s">
        <v>295</v>
      </c>
      <c r="H401" s="16"/>
    </row>
    <row r="402" spans="4:8" x14ac:dyDescent="0.3">
      <c r="D402" t="s">
        <v>295</v>
      </c>
      <c r="F402" t="s">
        <v>295</v>
      </c>
      <c r="H402" s="16"/>
    </row>
    <row r="403" spans="4:8" x14ac:dyDescent="0.3">
      <c r="D403" t="s">
        <v>295</v>
      </c>
      <c r="F403" t="s">
        <v>295</v>
      </c>
      <c r="H403" s="16"/>
    </row>
    <row r="404" spans="4:8" x14ac:dyDescent="0.3">
      <c r="D404" t="s">
        <v>295</v>
      </c>
      <c r="F404" t="s">
        <v>295</v>
      </c>
      <c r="H404" s="16"/>
    </row>
    <row r="405" spans="4:8" x14ac:dyDescent="0.3">
      <c r="D405" t="s">
        <v>295</v>
      </c>
      <c r="F405" t="s">
        <v>295</v>
      </c>
      <c r="H405" s="16"/>
    </row>
    <row r="406" spans="4:8" x14ac:dyDescent="0.3">
      <c r="D406" t="s">
        <v>295</v>
      </c>
      <c r="F406" t="s">
        <v>295</v>
      </c>
      <c r="H406" s="16"/>
    </row>
    <row r="407" spans="4:8" x14ac:dyDescent="0.3">
      <c r="D407" t="s">
        <v>295</v>
      </c>
      <c r="F407" t="s">
        <v>295</v>
      </c>
      <c r="H407" s="16"/>
    </row>
    <row r="408" spans="4:8" x14ac:dyDescent="0.3">
      <c r="D408" t="s">
        <v>295</v>
      </c>
      <c r="F408" t="s">
        <v>295</v>
      </c>
      <c r="H408" s="16"/>
    </row>
    <row r="409" spans="4:8" x14ac:dyDescent="0.3">
      <c r="D409" t="s">
        <v>295</v>
      </c>
      <c r="F409" t="s">
        <v>295</v>
      </c>
      <c r="H409" s="16"/>
    </row>
    <row r="410" spans="4:8" x14ac:dyDescent="0.3">
      <c r="D410" t="s">
        <v>295</v>
      </c>
      <c r="F410" t="s">
        <v>295</v>
      </c>
      <c r="H410" s="16"/>
    </row>
    <row r="411" spans="4:8" x14ac:dyDescent="0.3">
      <c r="D411" t="s">
        <v>295</v>
      </c>
      <c r="F411" t="s">
        <v>295</v>
      </c>
      <c r="H411" s="16"/>
    </row>
    <row r="412" spans="4:8" x14ac:dyDescent="0.3">
      <c r="D412" t="s">
        <v>295</v>
      </c>
      <c r="F412" t="s">
        <v>295</v>
      </c>
      <c r="H412" s="16"/>
    </row>
    <row r="413" spans="4:8" x14ac:dyDescent="0.3">
      <c r="D413" t="s">
        <v>295</v>
      </c>
      <c r="F413" t="s">
        <v>295</v>
      </c>
      <c r="H413" s="16"/>
    </row>
    <row r="414" spans="4:8" x14ac:dyDescent="0.3">
      <c r="D414" t="s">
        <v>295</v>
      </c>
      <c r="F414" t="s">
        <v>295</v>
      </c>
      <c r="H414" s="16"/>
    </row>
    <row r="415" spans="4:8" x14ac:dyDescent="0.3">
      <c r="D415" t="s">
        <v>295</v>
      </c>
      <c r="F415" t="s">
        <v>295</v>
      </c>
      <c r="H415" s="16"/>
    </row>
    <row r="416" spans="4:8" x14ac:dyDescent="0.3">
      <c r="D416" t="s">
        <v>295</v>
      </c>
      <c r="F416" t="s">
        <v>295</v>
      </c>
      <c r="H416" s="16"/>
    </row>
    <row r="417" spans="4:8" x14ac:dyDescent="0.3">
      <c r="D417" t="s">
        <v>295</v>
      </c>
      <c r="F417" t="s">
        <v>295</v>
      </c>
      <c r="H417" s="16"/>
    </row>
    <row r="418" spans="4:8" x14ac:dyDescent="0.3">
      <c r="D418" t="s">
        <v>295</v>
      </c>
      <c r="F418" t="s">
        <v>295</v>
      </c>
      <c r="H418" s="16"/>
    </row>
    <row r="419" spans="4:8" x14ac:dyDescent="0.3">
      <c r="D419" t="s">
        <v>295</v>
      </c>
      <c r="F419" t="s">
        <v>295</v>
      </c>
      <c r="H419" s="16"/>
    </row>
    <row r="420" spans="4:8" x14ac:dyDescent="0.3">
      <c r="D420" t="s">
        <v>295</v>
      </c>
      <c r="F420" t="s">
        <v>295</v>
      </c>
      <c r="H420" s="16"/>
    </row>
    <row r="421" spans="4:8" x14ac:dyDescent="0.3">
      <c r="D421" t="s">
        <v>295</v>
      </c>
      <c r="F421" t="s">
        <v>295</v>
      </c>
      <c r="H421" s="16"/>
    </row>
    <row r="422" spans="4:8" x14ac:dyDescent="0.3">
      <c r="D422" t="s">
        <v>295</v>
      </c>
      <c r="F422" t="s">
        <v>295</v>
      </c>
      <c r="H422" s="16"/>
    </row>
    <row r="423" spans="4:8" x14ac:dyDescent="0.3">
      <c r="D423" t="s">
        <v>295</v>
      </c>
      <c r="F423" t="s">
        <v>295</v>
      </c>
      <c r="H423" s="16"/>
    </row>
    <row r="424" spans="4:8" x14ac:dyDescent="0.3">
      <c r="D424" t="s">
        <v>295</v>
      </c>
      <c r="F424" t="s">
        <v>295</v>
      </c>
      <c r="H424" s="16"/>
    </row>
    <row r="425" spans="4:8" x14ac:dyDescent="0.3">
      <c r="D425" t="s">
        <v>295</v>
      </c>
      <c r="F425" t="s">
        <v>295</v>
      </c>
      <c r="H425" s="16"/>
    </row>
    <row r="426" spans="4:8" x14ac:dyDescent="0.3">
      <c r="D426" t="s">
        <v>295</v>
      </c>
      <c r="F426" t="s">
        <v>295</v>
      </c>
      <c r="H426" s="16"/>
    </row>
    <row r="427" spans="4:8" x14ac:dyDescent="0.3">
      <c r="D427" t="s">
        <v>295</v>
      </c>
      <c r="F427" t="s">
        <v>295</v>
      </c>
      <c r="H427" s="16"/>
    </row>
    <row r="428" spans="4:8" x14ac:dyDescent="0.3">
      <c r="D428" t="s">
        <v>295</v>
      </c>
      <c r="F428" t="s">
        <v>295</v>
      </c>
      <c r="H428" s="16"/>
    </row>
    <row r="429" spans="4:8" x14ac:dyDescent="0.3">
      <c r="D429" t="s">
        <v>295</v>
      </c>
      <c r="F429" t="s">
        <v>295</v>
      </c>
      <c r="H429" s="16"/>
    </row>
    <row r="430" spans="4:8" x14ac:dyDescent="0.3">
      <c r="D430" t="s">
        <v>295</v>
      </c>
      <c r="F430" t="s">
        <v>295</v>
      </c>
      <c r="H430" s="16"/>
    </row>
    <row r="431" spans="4:8" x14ac:dyDescent="0.3">
      <c r="D431" t="s">
        <v>295</v>
      </c>
      <c r="F431" t="s">
        <v>295</v>
      </c>
      <c r="H431" s="16"/>
    </row>
    <row r="432" spans="4:8" x14ac:dyDescent="0.3">
      <c r="D432" t="s">
        <v>295</v>
      </c>
      <c r="F432" t="s">
        <v>295</v>
      </c>
      <c r="H432" s="16"/>
    </row>
    <row r="433" spans="4:8" x14ac:dyDescent="0.3">
      <c r="D433" t="s">
        <v>295</v>
      </c>
      <c r="F433" t="s">
        <v>295</v>
      </c>
      <c r="H433" s="16"/>
    </row>
    <row r="434" spans="4:8" x14ac:dyDescent="0.3">
      <c r="D434" t="s">
        <v>295</v>
      </c>
      <c r="F434" t="s">
        <v>295</v>
      </c>
      <c r="H434" s="16"/>
    </row>
    <row r="435" spans="4:8" x14ac:dyDescent="0.3">
      <c r="D435" t="s">
        <v>295</v>
      </c>
      <c r="F435" t="s">
        <v>295</v>
      </c>
      <c r="H435" s="16"/>
    </row>
    <row r="436" spans="4:8" x14ac:dyDescent="0.3">
      <c r="D436" t="s">
        <v>295</v>
      </c>
      <c r="F436" t="s">
        <v>295</v>
      </c>
      <c r="H436" s="16"/>
    </row>
    <row r="437" spans="4:8" x14ac:dyDescent="0.3">
      <c r="D437" t="s">
        <v>295</v>
      </c>
      <c r="F437" t="s">
        <v>295</v>
      </c>
      <c r="H437" s="16"/>
    </row>
    <row r="438" spans="4:8" x14ac:dyDescent="0.3">
      <c r="D438" t="s">
        <v>295</v>
      </c>
      <c r="F438" t="s">
        <v>295</v>
      </c>
      <c r="H438" s="16"/>
    </row>
    <row r="439" spans="4:8" x14ac:dyDescent="0.3">
      <c r="D439" t="s">
        <v>295</v>
      </c>
      <c r="F439" t="s">
        <v>295</v>
      </c>
      <c r="H439" s="16"/>
    </row>
    <row r="440" spans="4:8" x14ac:dyDescent="0.3">
      <c r="D440" t="s">
        <v>295</v>
      </c>
      <c r="F440" t="s">
        <v>295</v>
      </c>
      <c r="H440" s="16"/>
    </row>
    <row r="441" spans="4:8" x14ac:dyDescent="0.3">
      <c r="D441" t="s">
        <v>295</v>
      </c>
      <c r="F441" t="s">
        <v>295</v>
      </c>
      <c r="H441" s="16"/>
    </row>
    <row r="442" spans="4:8" x14ac:dyDescent="0.3">
      <c r="D442" t="s">
        <v>295</v>
      </c>
      <c r="F442" t="s">
        <v>295</v>
      </c>
      <c r="H442" s="16"/>
    </row>
    <row r="443" spans="4:8" x14ac:dyDescent="0.3">
      <c r="D443" t="s">
        <v>295</v>
      </c>
      <c r="F443" t="s">
        <v>295</v>
      </c>
      <c r="H443" s="16"/>
    </row>
    <row r="444" spans="4:8" x14ac:dyDescent="0.3">
      <c r="D444" t="s">
        <v>295</v>
      </c>
      <c r="F444" t="s">
        <v>295</v>
      </c>
      <c r="H444" s="16"/>
    </row>
    <row r="445" spans="4:8" x14ac:dyDescent="0.3">
      <c r="D445" t="s">
        <v>295</v>
      </c>
      <c r="F445" t="s">
        <v>295</v>
      </c>
      <c r="H445" s="16"/>
    </row>
    <row r="446" spans="4:8" x14ac:dyDescent="0.3">
      <c r="D446" t="s">
        <v>295</v>
      </c>
      <c r="F446" t="s">
        <v>295</v>
      </c>
      <c r="H446" s="16"/>
    </row>
    <row r="447" spans="4:8" x14ac:dyDescent="0.3">
      <c r="D447" t="s">
        <v>295</v>
      </c>
      <c r="F447" t="s">
        <v>295</v>
      </c>
      <c r="H447" s="16"/>
    </row>
    <row r="448" spans="4:8" x14ac:dyDescent="0.3">
      <c r="D448" t="s">
        <v>295</v>
      </c>
      <c r="F448" t="s">
        <v>295</v>
      </c>
      <c r="H448" s="16"/>
    </row>
    <row r="449" spans="4:8" x14ac:dyDescent="0.3">
      <c r="D449" t="s">
        <v>295</v>
      </c>
      <c r="F449" t="s">
        <v>295</v>
      </c>
      <c r="H449" s="16"/>
    </row>
    <row r="450" spans="4:8" x14ac:dyDescent="0.3">
      <c r="D450" t="s">
        <v>295</v>
      </c>
      <c r="F450" t="s">
        <v>295</v>
      </c>
      <c r="H450" s="16"/>
    </row>
    <row r="451" spans="4:8" x14ac:dyDescent="0.3">
      <c r="D451" t="s">
        <v>295</v>
      </c>
      <c r="F451" t="s">
        <v>295</v>
      </c>
      <c r="H451" s="16"/>
    </row>
    <row r="452" spans="4:8" x14ac:dyDescent="0.3">
      <c r="D452" t="s">
        <v>295</v>
      </c>
      <c r="F452" t="s">
        <v>295</v>
      </c>
      <c r="H452" s="16"/>
    </row>
    <row r="453" spans="4:8" x14ac:dyDescent="0.3">
      <c r="D453" t="s">
        <v>295</v>
      </c>
      <c r="F453" t="s">
        <v>295</v>
      </c>
      <c r="H453" s="16"/>
    </row>
    <row r="454" spans="4:8" x14ac:dyDescent="0.3">
      <c r="D454" t="s">
        <v>295</v>
      </c>
      <c r="F454" t="s">
        <v>295</v>
      </c>
      <c r="H454" s="16"/>
    </row>
    <row r="455" spans="4:8" x14ac:dyDescent="0.3">
      <c r="D455" t="s">
        <v>295</v>
      </c>
      <c r="F455" t="s">
        <v>295</v>
      </c>
      <c r="H455" s="16"/>
    </row>
    <row r="456" spans="4:8" x14ac:dyDescent="0.3">
      <c r="D456" t="s">
        <v>295</v>
      </c>
      <c r="F456" t="s">
        <v>295</v>
      </c>
      <c r="H456" s="16"/>
    </row>
    <row r="457" spans="4:8" x14ac:dyDescent="0.3">
      <c r="D457" t="s">
        <v>295</v>
      </c>
      <c r="F457" t="s">
        <v>295</v>
      </c>
      <c r="H457" s="16"/>
    </row>
    <row r="458" spans="4:8" x14ac:dyDescent="0.3">
      <c r="D458" t="s">
        <v>295</v>
      </c>
      <c r="F458" t="s">
        <v>295</v>
      </c>
      <c r="H458" s="16"/>
    </row>
    <row r="459" spans="4:8" x14ac:dyDescent="0.3">
      <c r="D459" t="s">
        <v>295</v>
      </c>
      <c r="F459" t="s">
        <v>295</v>
      </c>
      <c r="H459" s="16"/>
    </row>
    <row r="460" spans="4:8" x14ac:dyDescent="0.3">
      <c r="D460" t="s">
        <v>295</v>
      </c>
      <c r="F460" t="s">
        <v>295</v>
      </c>
      <c r="H460" s="16"/>
    </row>
    <row r="461" spans="4:8" x14ac:dyDescent="0.3">
      <c r="D461" t="s">
        <v>295</v>
      </c>
      <c r="F461" t="s">
        <v>295</v>
      </c>
      <c r="H461" s="16"/>
    </row>
    <row r="462" spans="4:8" x14ac:dyDescent="0.3">
      <c r="D462" t="s">
        <v>295</v>
      </c>
      <c r="F462" t="s">
        <v>295</v>
      </c>
      <c r="H462" s="16"/>
    </row>
    <row r="463" spans="4:8" x14ac:dyDescent="0.3">
      <c r="D463" t="s">
        <v>295</v>
      </c>
      <c r="F463" t="s">
        <v>295</v>
      </c>
      <c r="H463" s="16"/>
    </row>
    <row r="464" spans="4:8" x14ac:dyDescent="0.3">
      <c r="D464" t="s">
        <v>295</v>
      </c>
      <c r="F464" t="s">
        <v>295</v>
      </c>
      <c r="H464" s="16"/>
    </row>
    <row r="465" spans="4:8" x14ac:dyDescent="0.3">
      <c r="D465" t="s">
        <v>295</v>
      </c>
      <c r="F465" t="s">
        <v>295</v>
      </c>
      <c r="H465" s="16"/>
    </row>
    <row r="466" spans="4:8" x14ac:dyDescent="0.3">
      <c r="D466" t="s">
        <v>295</v>
      </c>
      <c r="F466" t="s">
        <v>295</v>
      </c>
      <c r="H466" s="16"/>
    </row>
    <row r="467" spans="4:8" x14ac:dyDescent="0.3">
      <c r="D467" t="s">
        <v>295</v>
      </c>
      <c r="F467" t="s">
        <v>295</v>
      </c>
      <c r="H467" s="16"/>
    </row>
    <row r="468" spans="4:8" x14ac:dyDescent="0.3">
      <c r="D468" t="s">
        <v>295</v>
      </c>
      <c r="F468" t="s">
        <v>295</v>
      </c>
      <c r="H468" s="16"/>
    </row>
    <row r="469" spans="4:8" x14ac:dyDescent="0.3">
      <c r="D469" t="s">
        <v>295</v>
      </c>
      <c r="F469" t="s">
        <v>295</v>
      </c>
      <c r="H469" s="16"/>
    </row>
    <row r="470" spans="4:8" x14ac:dyDescent="0.3">
      <c r="D470" t="s">
        <v>295</v>
      </c>
      <c r="F470" t="s">
        <v>295</v>
      </c>
      <c r="H470" s="16"/>
    </row>
    <row r="471" spans="4:8" x14ac:dyDescent="0.3">
      <c r="D471" t="s">
        <v>295</v>
      </c>
      <c r="F471" t="s">
        <v>295</v>
      </c>
      <c r="H471" s="16"/>
    </row>
    <row r="472" spans="4:8" x14ac:dyDescent="0.3">
      <c r="D472" t="s">
        <v>295</v>
      </c>
      <c r="F472" t="s">
        <v>295</v>
      </c>
      <c r="H472" s="16"/>
    </row>
    <row r="473" spans="4:8" x14ac:dyDescent="0.3">
      <c r="D473" t="s">
        <v>295</v>
      </c>
      <c r="F473" t="s">
        <v>295</v>
      </c>
      <c r="H473" s="16"/>
    </row>
    <row r="474" spans="4:8" x14ac:dyDescent="0.3">
      <c r="D474" t="s">
        <v>295</v>
      </c>
      <c r="F474" t="s">
        <v>295</v>
      </c>
      <c r="H474" s="16"/>
    </row>
    <row r="475" spans="4:8" x14ac:dyDescent="0.3">
      <c r="D475" t="s">
        <v>295</v>
      </c>
      <c r="F475" t="s">
        <v>295</v>
      </c>
      <c r="H475" s="16"/>
    </row>
    <row r="476" spans="4:8" x14ac:dyDescent="0.3">
      <c r="D476" t="s">
        <v>295</v>
      </c>
      <c r="F476" t="s">
        <v>295</v>
      </c>
      <c r="H476" s="16"/>
    </row>
    <row r="477" spans="4:8" x14ac:dyDescent="0.3">
      <c r="D477" t="s">
        <v>295</v>
      </c>
      <c r="F477" t="s">
        <v>295</v>
      </c>
      <c r="H477" s="16"/>
    </row>
    <row r="478" spans="4:8" x14ac:dyDescent="0.3">
      <c r="D478" t="s">
        <v>295</v>
      </c>
      <c r="F478" t="s">
        <v>295</v>
      </c>
      <c r="H478" s="16"/>
    </row>
    <row r="479" spans="4:8" x14ac:dyDescent="0.3">
      <c r="D479" t="s">
        <v>295</v>
      </c>
      <c r="F479" t="s">
        <v>295</v>
      </c>
      <c r="H479" s="16"/>
    </row>
    <row r="480" spans="4:8" x14ac:dyDescent="0.3">
      <c r="D480" t="s">
        <v>295</v>
      </c>
      <c r="F480" t="s">
        <v>295</v>
      </c>
      <c r="H480" s="16"/>
    </row>
    <row r="481" spans="4:8" x14ac:dyDescent="0.3">
      <c r="D481" t="s">
        <v>295</v>
      </c>
      <c r="F481" t="s">
        <v>295</v>
      </c>
      <c r="H481" s="16"/>
    </row>
    <row r="482" spans="4:8" x14ac:dyDescent="0.3">
      <c r="D482" t="s">
        <v>295</v>
      </c>
      <c r="F482" t="s">
        <v>295</v>
      </c>
      <c r="H482" s="16"/>
    </row>
    <row r="483" spans="4:8" x14ac:dyDescent="0.3">
      <c r="D483" t="s">
        <v>295</v>
      </c>
      <c r="F483" t="s">
        <v>295</v>
      </c>
      <c r="H483" s="16"/>
    </row>
    <row r="484" spans="4:8" x14ac:dyDescent="0.3">
      <c r="D484" t="s">
        <v>295</v>
      </c>
      <c r="F484" t="s">
        <v>295</v>
      </c>
      <c r="H484" s="16"/>
    </row>
    <row r="485" spans="4:8" x14ac:dyDescent="0.3">
      <c r="D485" t="s">
        <v>295</v>
      </c>
      <c r="F485" t="s">
        <v>295</v>
      </c>
      <c r="H485" s="16"/>
    </row>
    <row r="486" spans="4:8" x14ac:dyDescent="0.3">
      <c r="D486" t="s">
        <v>295</v>
      </c>
      <c r="F486" t="s">
        <v>295</v>
      </c>
      <c r="H486" s="16"/>
    </row>
    <row r="487" spans="4:8" x14ac:dyDescent="0.3">
      <c r="D487" t="s">
        <v>295</v>
      </c>
      <c r="F487" t="s">
        <v>295</v>
      </c>
      <c r="H487" s="16"/>
    </row>
    <row r="488" spans="4:8" x14ac:dyDescent="0.3">
      <c r="D488" t="s">
        <v>295</v>
      </c>
      <c r="F488" t="s">
        <v>295</v>
      </c>
      <c r="H488" s="16"/>
    </row>
    <row r="489" spans="4:8" x14ac:dyDescent="0.3">
      <c r="D489" t="s">
        <v>295</v>
      </c>
      <c r="F489" t="s">
        <v>295</v>
      </c>
      <c r="H489" s="16"/>
    </row>
    <row r="490" spans="4:8" x14ac:dyDescent="0.3">
      <c r="D490" t="s">
        <v>295</v>
      </c>
      <c r="F490" t="s">
        <v>295</v>
      </c>
      <c r="H490" s="16"/>
    </row>
    <row r="491" spans="4:8" x14ac:dyDescent="0.3">
      <c r="D491" t="s">
        <v>295</v>
      </c>
      <c r="F491" t="s">
        <v>295</v>
      </c>
      <c r="H491" s="16"/>
    </row>
    <row r="492" spans="4:8" x14ac:dyDescent="0.3">
      <c r="D492" t="s">
        <v>295</v>
      </c>
      <c r="F492" t="s">
        <v>295</v>
      </c>
      <c r="H492" s="16"/>
    </row>
    <row r="493" spans="4:8" x14ac:dyDescent="0.3">
      <c r="D493" t="s">
        <v>295</v>
      </c>
      <c r="F493" t="s">
        <v>295</v>
      </c>
      <c r="H493" s="16"/>
    </row>
    <row r="494" spans="4:8" x14ac:dyDescent="0.3">
      <c r="D494" t="s">
        <v>295</v>
      </c>
      <c r="F494" t="s">
        <v>295</v>
      </c>
      <c r="H494" s="16"/>
    </row>
    <row r="495" spans="4:8" x14ac:dyDescent="0.3">
      <c r="D495" t="s">
        <v>295</v>
      </c>
      <c r="F495" t="s">
        <v>295</v>
      </c>
      <c r="H495" s="16"/>
    </row>
    <row r="496" spans="4:8" x14ac:dyDescent="0.3">
      <c r="D496" t="s">
        <v>295</v>
      </c>
      <c r="F496" t="s">
        <v>295</v>
      </c>
      <c r="H496" s="16"/>
    </row>
    <row r="497" spans="4:8" x14ac:dyDescent="0.3">
      <c r="D497" t="s">
        <v>295</v>
      </c>
      <c r="F497" t="s">
        <v>295</v>
      </c>
      <c r="H497" s="16"/>
    </row>
    <row r="498" spans="4:8" x14ac:dyDescent="0.3">
      <c r="D498" t="s">
        <v>295</v>
      </c>
      <c r="F498" t="s">
        <v>295</v>
      </c>
      <c r="H498" s="16"/>
    </row>
    <row r="499" spans="4:8" x14ac:dyDescent="0.3">
      <c r="D499" t="s">
        <v>295</v>
      </c>
      <c r="F499" t="s">
        <v>295</v>
      </c>
      <c r="H499" s="16"/>
    </row>
    <row r="500" spans="4:8" x14ac:dyDescent="0.3">
      <c r="D500" t="s">
        <v>295</v>
      </c>
      <c r="F500" t="s">
        <v>295</v>
      </c>
      <c r="H500" s="16"/>
    </row>
    <row r="501" spans="4:8" x14ac:dyDescent="0.3">
      <c r="D501" t="s">
        <v>295</v>
      </c>
      <c r="F501" t="s">
        <v>295</v>
      </c>
      <c r="H501" s="16"/>
    </row>
    <row r="502" spans="4:8" x14ac:dyDescent="0.3">
      <c r="D502" t="s">
        <v>295</v>
      </c>
      <c r="F502" t="s">
        <v>295</v>
      </c>
      <c r="H502" s="16"/>
    </row>
    <row r="503" spans="4:8" x14ac:dyDescent="0.3">
      <c r="D503" t="s">
        <v>295</v>
      </c>
      <c r="F503" t="s">
        <v>295</v>
      </c>
      <c r="H503" s="16"/>
    </row>
    <row r="504" spans="4:8" x14ac:dyDescent="0.3">
      <c r="D504" t="s">
        <v>295</v>
      </c>
      <c r="F504" t="s">
        <v>295</v>
      </c>
      <c r="H504" s="16"/>
    </row>
    <row r="505" spans="4:8" x14ac:dyDescent="0.3">
      <c r="D505" t="s">
        <v>295</v>
      </c>
      <c r="F505" t="s">
        <v>295</v>
      </c>
      <c r="H505" s="16"/>
    </row>
    <row r="506" spans="4:8" x14ac:dyDescent="0.3">
      <c r="D506" t="s">
        <v>295</v>
      </c>
      <c r="F506" t="s">
        <v>295</v>
      </c>
      <c r="H506" s="16"/>
    </row>
    <row r="507" spans="4:8" x14ac:dyDescent="0.3">
      <c r="D507" t="s">
        <v>295</v>
      </c>
      <c r="F507" t="s">
        <v>295</v>
      </c>
      <c r="H507" s="16"/>
    </row>
    <row r="508" spans="4:8" x14ac:dyDescent="0.3">
      <c r="D508" t="s">
        <v>295</v>
      </c>
      <c r="F508" t="s">
        <v>295</v>
      </c>
      <c r="H508" s="16"/>
    </row>
    <row r="509" spans="4:8" x14ac:dyDescent="0.3">
      <c r="D509" t="s">
        <v>295</v>
      </c>
      <c r="F509" t="s">
        <v>295</v>
      </c>
      <c r="H509" s="16"/>
    </row>
    <row r="510" spans="4:8" x14ac:dyDescent="0.3">
      <c r="D510" t="s">
        <v>295</v>
      </c>
      <c r="F510" t="s">
        <v>295</v>
      </c>
      <c r="H510" s="16"/>
    </row>
    <row r="511" spans="4:8" x14ac:dyDescent="0.3">
      <c r="D511" t="s">
        <v>295</v>
      </c>
      <c r="F511" t="s">
        <v>295</v>
      </c>
      <c r="H511" s="16"/>
    </row>
    <row r="512" spans="4:8" x14ac:dyDescent="0.3">
      <c r="D512" t="s">
        <v>295</v>
      </c>
      <c r="F512" t="s">
        <v>295</v>
      </c>
      <c r="H512" s="16"/>
    </row>
    <row r="513" spans="4:8" x14ac:dyDescent="0.3">
      <c r="D513" t="s">
        <v>295</v>
      </c>
      <c r="F513" t="s">
        <v>295</v>
      </c>
      <c r="H513" s="16"/>
    </row>
    <row r="514" spans="4:8" x14ac:dyDescent="0.3">
      <c r="D514" t="s">
        <v>295</v>
      </c>
      <c r="F514" t="s">
        <v>295</v>
      </c>
      <c r="H514" s="16"/>
    </row>
    <row r="515" spans="4:8" x14ac:dyDescent="0.3">
      <c r="D515" t="s">
        <v>295</v>
      </c>
      <c r="F515" t="s">
        <v>295</v>
      </c>
      <c r="H515" s="16"/>
    </row>
    <row r="516" spans="4:8" x14ac:dyDescent="0.3">
      <c r="D516" t="s">
        <v>295</v>
      </c>
      <c r="F516" t="s">
        <v>295</v>
      </c>
      <c r="H516" s="16"/>
    </row>
    <row r="517" spans="4:8" x14ac:dyDescent="0.3">
      <c r="D517" t="s">
        <v>295</v>
      </c>
      <c r="F517" t="s">
        <v>295</v>
      </c>
      <c r="H517" s="16"/>
    </row>
    <row r="518" spans="4:8" x14ac:dyDescent="0.3">
      <c r="D518" t="s">
        <v>295</v>
      </c>
      <c r="F518" t="s">
        <v>295</v>
      </c>
      <c r="H518" s="16"/>
    </row>
    <row r="519" spans="4:8" x14ac:dyDescent="0.3">
      <c r="D519" t="s">
        <v>295</v>
      </c>
      <c r="F519" t="s">
        <v>295</v>
      </c>
      <c r="H519" s="16"/>
    </row>
    <row r="520" spans="4:8" x14ac:dyDescent="0.3">
      <c r="D520" t="s">
        <v>295</v>
      </c>
      <c r="F520" t="s">
        <v>295</v>
      </c>
      <c r="H520" s="16"/>
    </row>
    <row r="521" spans="4:8" x14ac:dyDescent="0.3">
      <c r="D521" t="s">
        <v>295</v>
      </c>
      <c r="F521" t="s">
        <v>295</v>
      </c>
      <c r="H521" s="16"/>
    </row>
    <row r="522" spans="4:8" x14ac:dyDescent="0.3">
      <c r="D522" t="s">
        <v>295</v>
      </c>
      <c r="F522" t="s">
        <v>295</v>
      </c>
      <c r="H522" s="16"/>
    </row>
    <row r="523" spans="4:8" x14ac:dyDescent="0.3">
      <c r="D523" t="s">
        <v>295</v>
      </c>
      <c r="F523" t="s">
        <v>295</v>
      </c>
      <c r="H523" s="16"/>
    </row>
    <row r="524" spans="4:8" x14ac:dyDescent="0.3">
      <c r="D524" t="s">
        <v>295</v>
      </c>
      <c r="F524" t="s">
        <v>295</v>
      </c>
      <c r="H524" s="16"/>
    </row>
    <row r="525" spans="4:8" x14ac:dyDescent="0.3">
      <c r="D525" t="s">
        <v>295</v>
      </c>
      <c r="F525" t="s">
        <v>295</v>
      </c>
      <c r="H525" s="16"/>
    </row>
    <row r="526" spans="4:8" x14ac:dyDescent="0.3">
      <c r="D526" t="s">
        <v>295</v>
      </c>
      <c r="F526" t="s">
        <v>295</v>
      </c>
      <c r="H526" s="16"/>
    </row>
    <row r="527" spans="4:8" x14ac:dyDescent="0.3">
      <c r="D527" t="s">
        <v>295</v>
      </c>
      <c r="F527" t="s">
        <v>295</v>
      </c>
      <c r="H527" s="16"/>
    </row>
    <row r="528" spans="4:8" x14ac:dyDescent="0.3">
      <c r="D528" t="s">
        <v>295</v>
      </c>
      <c r="F528" t="s">
        <v>295</v>
      </c>
      <c r="H528" s="16"/>
    </row>
    <row r="529" spans="4:8" x14ac:dyDescent="0.3">
      <c r="D529" t="s">
        <v>295</v>
      </c>
      <c r="F529" t="s">
        <v>295</v>
      </c>
      <c r="H529" s="16"/>
    </row>
    <row r="530" spans="4:8" x14ac:dyDescent="0.3">
      <c r="D530" t="s">
        <v>295</v>
      </c>
      <c r="F530" t="s">
        <v>295</v>
      </c>
      <c r="H530" s="16"/>
    </row>
    <row r="531" spans="4:8" x14ac:dyDescent="0.3">
      <c r="D531" t="s">
        <v>295</v>
      </c>
      <c r="F531" t="s">
        <v>295</v>
      </c>
      <c r="H531" s="16"/>
    </row>
    <row r="532" spans="4:8" x14ac:dyDescent="0.3">
      <c r="D532" t="s">
        <v>295</v>
      </c>
      <c r="F532" t="s">
        <v>295</v>
      </c>
      <c r="H532" s="16"/>
    </row>
    <row r="533" spans="4:8" x14ac:dyDescent="0.3">
      <c r="D533" t="s">
        <v>295</v>
      </c>
      <c r="F533" t="s">
        <v>295</v>
      </c>
      <c r="H533" s="16"/>
    </row>
    <row r="534" spans="4:8" x14ac:dyDescent="0.3">
      <c r="D534" t="s">
        <v>295</v>
      </c>
      <c r="F534" t="s">
        <v>295</v>
      </c>
      <c r="H534" s="16"/>
    </row>
    <row r="535" spans="4:8" x14ac:dyDescent="0.3">
      <c r="D535" t="s">
        <v>295</v>
      </c>
      <c r="F535" t="s">
        <v>295</v>
      </c>
      <c r="H535" s="16"/>
    </row>
    <row r="536" spans="4:8" x14ac:dyDescent="0.3">
      <c r="D536" t="s">
        <v>295</v>
      </c>
      <c r="F536" t="s">
        <v>295</v>
      </c>
      <c r="H536" s="16"/>
    </row>
    <row r="537" spans="4:8" x14ac:dyDescent="0.3">
      <c r="D537" t="s">
        <v>295</v>
      </c>
      <c r="F537" t="s">
        <v>295</v>
      </c>
      <c r="H537" s="16"/>
    </row>
    <row r="538" spans="4:8" x14ac:dyDescent="0.3">
      <c r="D538" t="s">
        <v>295</v>
      </c>
      <c r="F538" t="s">
        <v>295</v>
      </c>
      <c r="H538" s="16"/>
    </row>
    <row r="539" spans="4:8" x14ac:dyDescent="0.3">
      <c r="D539" t="s">
        <v>295</v>
      </c>
      <c r="F539" t="s">
        <v>295</v>
      </c>
      <c r="H539" s="16"/>
    </row>
    <row r="540" spans="4:8" x14ac:dyDescent="0.3">
      <c r="D540" t="s">
        <v>295</v>
      </c>
      <c r="F540" t="s">
        <v>295</v>
      </c>
      <c r="H540" s="16"/>
    </row>
    <row r="541" spans="4:8" x14ac:dyDescent="0.3">
      <c r="D541" t="s">
        <v>295</v>
      </c>
      <c r="F541" t="s">
        <v>295</v>
      </c>
      <c r="H541" s="16"/>
    </row>
    <row r="542" spans="4:8" x14ac:dyDescent="0.3">
      <c r="D542" t="s">
        <v>295</v>
      </c>
      <c r="F542" t="s">
        <v>295</v>
      </c>
      <c r="H542" s="16"/>
    </row>
    <row r="543" spans="4:8" x14ac:dyDescent="0.3">
      <c r="D543" t="s">
        <v>295</v>
      </c>
      <c r="F543" t="s">
        <v>295</v>
      </c>
      <c r="H543" s="16"/>
    </row>
    <row r="544" spans="4:8" x14ac:dyDescent="0.3">
      <c r="D544" t="s">
        <v>295</v>
      </c>
      <c r="F544" t="s">
        <v>295</v>
      </c>
      <c r="H544" s="16"/>
    </row>
    <row r="545" spans="4:8" x14ac:dyDescent="0.3">
      <c r="D545" t="s">
        <v>295</v>
      </c>
      <c r="F545" t="s">
        <v>295</v>
      </c>
      <c r="H545" s="16"/>
    </row>
    <row r="546" spans="4:8" x14ac:dyDescent="0.3">
      <c r="D546" t="s">
        <v>295</v>
      </c>
      <c r="F546" t="s">
        <v>295</v>
      </c>
      <c r="H546" s="16"/>
    </row>
    <row r="547" spans="4:8" x14ac:dyDescent="0.3">
      <c r="D547" t="s">
        <v>295</v>
      </c>
      <c r="F547" t="s">
        <v>295</v>
      </c>
      <c r="H547" s="16"/>
    </row>
    <row r="548" spans="4:8" x14ac:dyDescent="0.3">
      <c r="D548" t="s">
        <v>295</v>
      </c>
      <c r="F548" t="s">
        <v>295</v>
      </c>
      <c r="H548" s="16"/>
    </row>
    <row r="549" spans="4:8" x14ac:dyDescent="0.3">
      <c r="D549" t="s">
        <v>295</v>
      </c>
      <c r="F549" t="s">
        <v>295</v>
      </c>
      <c r="H549" s="16"/>
    </row>
    <row r="550" spans="4:8" x14ac:dyDescent="0.3">
      <c r="D550" t="s">
        <v>295</v>
      </c>
      <c r="F550" t="s">
        <v>295</v>
      </c>
      <c r="H550" s="16"/>
    </row>
    <row r="551" spans="4:8" x14ac:dyDescent="0.3">
      <c r="D551" t="s">
        <v>295</v>
      </c>
      <c r="F551" t="s">
        <v>295</v>
      </c>
      <c r="H551" s="16"/>
    </row>
    <row r="552" spans="4:8" x14ac:dyDescent="0.3">
      <c r="D552" t="s">
        <v>295</v>
      </c>
      <c r="F552" t="s">
        <v>295</v>
      </c>
      <c r="H552" s="16"/>
    </row>
    <row r="553" spans="4:8" x14ac:dyDescent="0.3">
      <c r="D553" t="s">
        <v>295</v>
      </c>
      <c r="F553" t="s">
        <v>295</v>
      </c>
      <c r="H553" s="16"/>
    </row>
    <row r="554" spans="4:8" x14ac:dyDescent="0.3">
      <c r="D554" t="s">
        <v>295</v>
      </c>
      <c r="F554" t="s">
        <v>295</v>
      </c>
      <c r="H554" s="16"/>
    </row>
    <row r="555" spans="4:8" x14ac:dyDescent="0.3">
      <c r="D555" t="s">
        <v>295</v>
      </c>
      <c r="F555" t="s">
        <v>295</v>
      </c>
      <c r="H555" s="16"/>
    </row>
    <row r="556" spans="4:8" x14ac:dyDescent="0.3">
      <c r="D556" t="s">
        <v>295</v>
      </c>
      <c r="F556" t="s">
        <v>295</v>
      </c>
      <c r="H556" s="16"/>
    </row>
    <row r="557" spans="4:8" x14ac:dyDescent="0.3">
      <c r="D557" t="s">
        <v>295</v>
      </c>
      <c r="F557" t="s">
        <v>295</v>
      </c>
      <c r="H557" s="16"/>
    </row>
    <row r="558" spans="4:8" x14ac:dyDescent="0.3">
      <c r="D558" t="s">
        <v>295</v>
      </c>
      <c r="F558" t="s">
        <v>295</v>
      </c>
      <c r="H558" s="16"/>
    </row>
    <row r="559" spans="4:8" x14ac:dyDescent="0.3">
      <c r="D559" t="s">
        <v>295</v>
      </c>
      <c r="F559" t="s">
        <v>295</v>
      </c>
      <c r="H559" s="16"/>
    </row>
    <row r="560" spans="4:8" x14ac:dyDescent="0.3">
      <c r="D560" t="s">
        <v>295</v>
      </c>
      <c r="F560" t="s">
        <v>295</v>
      </c>
      <c r="H560" s="16"/>
    </row>
    <row r="561" spans="4:8" x14ac:dyDescent="0.3">
      <c r="D561" t="s">
        <v>295</v>
      </c>
      <c r="F561" t="s">
        <v>295</v>
      </c>
      <c r="H561" s="16"/>
    </row>
    <row r="562" spans="4:8" x14ac:dyDescent="0.3">
      <c r="D562" t="s">
        <v>295</v>
      </c>
      <c r="F562" t="s">
        <v>295</v>
      </c>
      <c r="H562" s="16"/>
    </row>
    <row r="563" spans="4:8" x14ac:dyDescent="0.3">
      <c r="D563" t="s">
        <v>295</v>
      </c>
      <c r="F563" t="s">
        <v>295</v>
      </c>
      <c r="H563" s="16"/>
    </row>
    <row r="564" spans="4:8" x14ac:dyDescent="0.3">
      <c r="D564" t="s">
        <v>295</v>
      </c>
      <c r="F564" t="s">
        <v>295</v>
      </c>
      <c r="H564" s="16"/>
    </row>
    <row r="565" spans="4:8" x14ac:dyDescent="0.3">
      <c r="D565" t="s">
        <v>295</v>
      </c>
      <c r="F565" t="s">
        <v>295</v>
      </c>
      <c r="H565" s="16"/>
    </row>
    <row r="566" spans="4:8" x14ac:dyDescent="0.3">
      <c r="D566" t="s">
        <v>295</v>
      </c>
      <c r="F566" t="s">
        <v>295</v>
      </c>
      <c r="H566" s="16"/>
    </row>
    <row r="567" spans="4:8" x14ac:dyDescent="0.3">
      <c r="D567" t="s">
        <v>295</v>
      </c>
      <c r="F567" t="s">
        <v>295</v>
      </c>
      <c r="H567" s="16"/>
    </row>
    <row r="568" spans="4:8" x14ac:dyDescent="0.3">
      <c r="D568" t="s">
        <v>295</v>
      </c>
      <c r="F568" t="s">
        <v>295</v>
      </c>
      <c r="H568" s="16"/>
    </row>
    <row r="569" spans="4:8" x14ac:dyDescent="0.3">
      <c r="D569" t="s">
        <v>295</v>
      </c>
      <c r="F569" t="s">
        <v>295</v>
      </c>
      <c r="H569" s="16"/>
    </row>
    <row r="570" spans="4:8" x14ac:dyDescent="0.3">
      <c r="D570" t="s">
        <v>295</v>
      </c>
      <c r="F570" t="s">
        <v>295</v>
      </c>
      <c r="H570" s="16"/>
    </row>
    <row r="571" spans="4:8" x14ac:dyDescent="0.3">
      <c r="D571" t="s">
        <v>295</v>
      </c>
      <c r="F571" t="s">
        <v>295</v>
      </c>
      <c r="H571" s="16"/>
    </row>
    <row r="572" spans="4:8" x14ac:dyDescent="0.3">
      <c r="D572" t="s">
        <v>295</v>
      </c>
      <c r="F572" t="s">
        <v>295</v>
      </c>
      <c r="H572" s="16"/>
    </row>
    <row r="573" spans="4:8" x14ac:dyDescent="0.3">
      <c r="D573" t="s">
        <v>295</v>
      </c>
      <c r="F573" t="s">
        <v>295</v>
      </c>
      <c r="H573" s="16"/>
    </row>
    <row r="574" spans="4:8" x14ac:dyDescent="0.3">
      <c r="D574" t="s">
        <v>295</v>
      </c>
      <c r="F574" t="s">
        <v>295</v>
      </c>
      <c r="H574" s="16"/>
    </row>
    <row r="575" spans="4:8" x14ac:dyDescent="0.3">
      <c r="D575" t="s">
        <v>295</v>
      </c>
      <c r="F575" t="s">
        <v>295</v>
      </c>
      <c r="H575" s="16"/>
    </row>
    <row r="576" spans="4:8" x14ac:dyDescent="0.3">
      <c r="D576" t="s">
        <v>295</v>
      </c>
      <c r="F576" t="s">
        <v>295</v>
      </c>
      <c r="H576" s="16"/>
    </row>
    <row r="577" spans="4:8" x14ac:dyDescent="0.3">
      <c r="D577" t="s">
        <v>295</v>
      </c>
      <c r="F577" t="s">
        <v>295</v>
      </c>
      <c r="H577" s="16"/>
    </row>
    <row r="578" spans="4:8" x14ac:dyDescent="0.3">
      <c r="D578" t="s">
        <v>295</v>
      </c>
      <c r="F578" t="s">
        <v>295</v>
      </c>
      <c r="H578" s="16"/>
    </row>
    <row r="579" spans="4:8" x14ac:dyDescent="0.3">
      <c r="D579" t="s">
        <v>295</v>
      </c>
      <c r="F579" t="s">
        <v>295</v>
      </c>
      <c r="H579" s="16"/>
    </row>
    <row r="580" spans="4:8" x14ac:dyDescent="0.3">
      <c r="D580" t="s">
        <v>295</v>
      </c>
      <c r="F580" t="s">
        <v>295</v>
      </c>
      <c r="H580" s="16"/>
    </row>
    <row r="581" spans="4:8" x14ac:dyDescent="0.3">
      <c r="D581" t="s">
        <v>295</v>
      </c>
      <c r="F581" t="s">
        <v>295</v>
      </c>
      <c r="H581" s="16"/>
    </row>
    <row r="582" spans="4:8" x14ac:dyDescent="0.3">
      <c r="D582" t="s">
        <v>295</v>
      </c>
      <c r="F582" t="s">
        <v>295</v>
      </c>
      <c r="H582" s="16"/>
    </row>
    <row r="583" spans="4:8" x14ac:dyDescent="0.3">
      <c r="D583" t="s">
        <v>295</v>
      </c>
      <c r="F583" t="s">
        <v>295</v>
      </c>
      <c r="H583" s="16"/>
    </row>
    <row r="584" spans="4:8" x14ac:dyDescent="0.3">
      <c r="D584" t="s">
        <v>295</v>
      </c>
      <c r="F584" t="s">
        <v>295</v>
      </c>
      <c r="H584" s="16"/>
    </row>
    <row r="585" spans="4:8" x14ac:dyDescent="0.3">
      <c r="D585" t="s">
        <v>295</v>
      </c>
      <c r="F585" t="s">
        <v>295</v>
      </c>
      <c r="H585" s="16"/>
    </row>
    <row r="586" spans="4:8" x14ac:dyDescent="0.3">
      <c r="D586" t="s">
        <v>295</v>
      </c>
      <c r="F586" t="s">
        <v>295</v>
      </c>
      <c r="H586" s="16"/>
    </row>
    <row r="587" spans="4:8" x14ac:dyDescent="0.3">
      <c r="D587" t="s">
        <v>295</v>
      </c>
      <c r="F587" t="s">
        <v>295</v>
      </c>
      <c r="H587" s="16"/>
    </row>
    <row r="588" spans="4:8" x14ac:dyDescent="0.3">
      <c r="D588" t="s">
        <v>295</v>
      </c>
      <c r="F588" t="s">
        <v>295</v>
      </c>
      <c r="H588" s="16"/>
    </row>
    <row r="589" spans="4:8" x14ac:dyDescent="0.3">
      <c r="D589" t="s">
        <v>295</v>
      </c>
      <c r="F589" t="s">
        <v>295</v>
      </c>
      <c r="H589" s="16"/>
    </row>
    <row r="590" spans="4:8" x14ac:dyDescent="0.3">
      <c r="D590" t="s">
        <v>295</v>
      </c>
      <c r="F590" t="s">
        <v>295</v>
      </c>
      <c r="H590" s="16"/>
    </row>
    <row r="591" spans="4:8" x14ac:dyDescent="0.3">
      <c r="D591" t="s">
        <v>295</v>
      </c>
      <c r="F591" t="s">
        <v>295</v>
      </c>
      <c r="H591" s="16"/>
    </row>
    <row r="592" spans="4:8" x14ac:dyDescent="0.3">
      <c r="D592" t="s">
        <v>295</v>
      </c>
      <c r="F592" t="s">
        <v>295</v>
      </c>
      <c r="H592" s="16"/>
    </row>
    <row r="593" spans="4:8" x14ac:dyDescent="0.3">
      <c r="D593" t="s">
        <v>295</v>
      </c>
      <c r="F593" t="s">
        <v>295</v>
      </c>
      <c r="H593" s="16"/>
    </row>
    <row r="594" spans="4:8" x14ac:dyDescent="0.3">
      <c r="D594" t="s">
        <v>295</v>
      </c>
      <c r="F594" t="s">
        <v>295</v>
      </c>
      <c r="H594" s="16"/>
    </row>
    <row r="595" spans="4:8" x14ac:dyDescent="0.3">
      <c r="D595" t="s">
        <v>295</v>
      </c>
      <c r="F595" t="s">
        <v>295</v>
      </c>
      <c r="H595" s="16"/>
    </row>
    <row r="596" spans="4:8" x14ac:dyDescent="0.3">
      <c r="D596" t="s">
        <v>295</v>
      </c>
      <c r="F596" t="s">
        <v>295</v>
      </c>
      <c r="H596" s="16"/>
    </row>
    <row r="597" spans="4:8" x14ac:dyDescent="0.3">
      <c r="D597" t="s">
        <v>295</v>
      </c>
      <c r="F597" t="s">
        <v>295</v>
      </c>
      <c r="H597" s="16"/>
    </row>
    <row r="598" spans="4:8" x14ac:dyDescent="0.3">
      <c r="D598" t="s">
        <v>295</v>
      </c>
      <c r="F598" t="s">
        <v>295</v>
      </c>
      <c r="H598" s="16"/>
    </row>
    <row r="599" spans="4:8" x14ac:dyDescent="0.3">
      <c r="D599" t="s">
        <v>295</v>
      </c>
      <c r="F599" t="s">
        <v>295</v>
      </c>
      <c r="H599" s="16"/>
    </row>
    <row r="600" spans="4:8" x14ac:dyDescent="0.3">
      <c r="D600" t="s">
        <v>295</v>
      </c>
      <c r="F600" t="s">
        <v>295</v>
      </c>
      <c r="H600" s="16"/>
    </row>
    <row r="601" spans="4:8" x14ac:dyDescent="0.3">
      <c r="D601" t="s">
        <v>295</v>
      </c>
      <c r="F601" t="s">
        <v>295</v>
      </c>
      <c r="H601" s="16"/>
    </row>
    <row r="602" spans="4:8" x14ac:dyDescent="0.3">
      <c r="D602" t="s">
        <v>295</v>
      </c>
      <c r="F602" t="s">
        <v>295</v>
      </c>
      <c r="H602" s="16"/>
    </row>
    <row r="603" spans="4:8" x14ac:dyDescent="0.3">
      <c r="D603" t="s">
        <v>295</v>
      </c>
      <c r="F603" t="s">
        <v>295</v>
      </c>
      <c r="H603" s="16"/>
    </row>
    <row r="604" spans="4:8" x14ac:dyDescent="0.3">
      <c r="D604" t="s">
        <v>295</v>
      </c>
      <c r="F604" t="s">
        <v>295</v>
      </c>
      <c r="H604" s="16"/>
    </row>
    <row r="605" spans="4:8" x14ac:dyDescent="0.3">
      <c r="D605" t="s">
        <v>295</v>
      </c>
      <c r="F605" t="s">
        <v>295</v>
      </c>
      <c r="H605" s="16"/>
    </row>
    <row r="606" spans="4:8" x14ac:dyDescent="0.3">
      <c r="D606" t="s">
        <v>295</v>
      </c>
      <c r="F606" t="s">
        <v>295</v>
      </c>
      <c r="H606" s="16"/>
    </row>
    <row r="607" spans="4:8" x14ac:dyDescent="0.3">
      <c r="D607" t="s">
        <v>295</v>
      </c>
      <c r="F607" t="s">
        <v>295</v>
      </c>
      <c r="H607" s="16"/>
    </row>
    <row r="608" spans="4:8" x14ac:dyDescent="0.3">
      <c r="D608" t="s">
        <v>295</v>
      </c>
      <c r="F608" t="s">
        <v>295</v>
      </c>
      <c r="H608" s="16"/>
    </row>
    <row r="609" spans="4:8" x14ac:dyDescent="0.3">
      <c r="D609" t="s">
        <v>295</v>
      </c>
      <c r="F609" t="s">
        <v>295</v>
      </c>
      <c r="H609" s="16"/>
    </row>
    <row r="610" spans="4:8" x14ac:dyDescent="0.3">
      <c r="D610" t="s">
        <v>295</v>
      </c>
      <c r="F610" t="s">
        <v>295</v>
      </c>
      <c r="H610" s="16"/>
    </row>
    <row r="611" spans="4:8" x14ac:dyDescent="0.3">
      <c r="D611" t="s">
        <v>295</v>
      </c>
      <c r="F611" t="s">
        <v>295</v>
      </c>
      <c r="H611" s="16"/>
    </row>
    <row r="612" spans="4:8" x14ac:dyDescent="0.3">
      <c r="D612" t="s">
        <v>295</v>
      </c>
      <c r="F612" t="s">
        <v>295</v>
      </c>
      <c r="H612" s="16"/>
    </row>
    <row r="613" spans="4:8" x14ac:dyDescent="0.3">
      <c r="D613" t="s">
        <v>295</v>
      </c>
      <c r="F613" t="s">
        <v>295</v>
      </c>
      <c r="H613" s="16"/>
    </row>
    <row r="614" spans="4:8" x14ac:dyDescent="0.3">
      <c r="D614" t="s">
        <v>295</v>
      </c>
      <c r="F614" t="s">
        <v>295</v>
      </c>
      <c r="H614" s="16"/>
    </row>
    <row r="615" spans="4:8" x14ac:dyDescent="0.3">
      <c r="D615" t="s">
        <v>295</v>
      </c>
      <c r="F615" t="s">
        <v>295</v>
      </c>
      <c r="H615" s="16"/>
    </row>
    <row r="616" spans="4:8" x14ac:dyDescent="0.3">
      <c r="D616" t="s">
        <v>295</v>
      </c>
      <c r="F616" t="s">
        <v>295</v>
      </c>
      <c r="H616" s="16"/>
    </row>
    <row r="617" spans="4:8" x14ac:dyDescent="0.3">
      <c r="D617" t="s">
        <v>295</v>
      </c>
      <c r="F617" t="s">
        <v>295</v>
      </c>
      <c r="H617" s="16"/>
    </row>
    <row r="618" spans="4:8" x14ac:dyDescent="0.3">
      <c r="D618" t="s">
        <v>295</v>
      </c>
      <c r="F618" t="s">
        <v>295</v>
      </c>
      <c r="H618" s="16"/>
    </row>
    <row r="619" spans="4:8" x14ac:dyDescent="0.3">
      <c r="D619" t="s">
        <v>295</v>
      </c>
      <c r="F619" t="s">
        <v>295</v>
      </c>
      <c r="H619" s="16"/>
    </row>
    <row r="620" spans="4:8" x14ac:dyDescent="0.3">
      <c r="D620" t="s">
        <v>295</v>
      </c>
      <c r="F620" t="s">
        <v>295</v>
      </c>
      <c r="H620" s="16"/>
    </row>
    <row r="621" spans="4:8" x14ac:dyDescent="0.3">
      <c r="D621" t="s">
        <v>295</v>
      </c>
      <c r="F621" t="s">
        <v>295</v>
      </c>
      <c r="H621" s="16"/>
    </row>
    <row r="622" spans="4:8" x14ac:dyDescent="0.3">
      <c r="D622" t="s">
        <v>295</v>
      </c>
      <c r="F622" t="s">
        <v>295</v>
      </c>
      <c r="H622" s="16"/>
    </row>
    <row r="623" spans="4:8" x14ac:dyDescent="0.3">
      <c r="D623" t="s">
        <v>295</v>
      </c>
      <c r="F623" t="s">
        <v>295</v>
      </c>
      <c r="H623" s="16"/>
    </row>
    <row r="624" spans="4:8" x14ac:dyDescent="0.3">
      <c r="D624" t="s">
        <v>295</v>
      </c>
      <c r="F624" t="s">
        <v>295</v>
      </c>
      <c r="H624" s="16"/>
    </row>
    <row r="625" spans="4:8" x14ac:dyDescent="0.3">
      <c r="D625" t="s">
        <v>295</v>
      </c>
      <c r="F625" t="s">
        <v>295</v>
      </c>
      <c r="H625" s="16"/>
    </row>
    <row r="626" spans="4:8" x14ac:dyDescent="0.3">
      <c r="D626" t="s">
        <v>295</v>
      </c>
      <c r="F626" t="s">
        <v>295</v>
      </c>
      <c r="H626" s="16"/>
    </row>
    <row r="627" spans="4:8" x14ac:dyDescent="0.3">
      <c r="D627" t="s">
        <v>295</v>
      </c>
      <c r="F627" t="s">
        <v>295</v>
      </c>
      <c r="H627" s="16"/>
    </row>
    <row r="628" spans="4:8" x14ac:dyDescent="0.3">
      <c r="D628" t="s">
        <v>295</v>
      </c>
      <c r="F628" t="s">
        <v>295</v>
      </c>
      <c r="H628" s="16"/>
    </row>
    <row r="629" spans="4:8" x14ac:dyDescent="0.3">
      <c r="D629" t="s">
        <v>295</v>
      </c>
      <c r="F629" t="s">
        <v>295</v>
      </c>
      <c r="H629" s="16"/>
    </row>
    <row r="630" spans="4:8" x14ac:dyDescent="0.3">
      <c r="D630" t="s">
        <v>295</v>
      </c>
      <c r="F630" t="s">
        <v>295</v>
      </c>
      <c r="H630" s="16"/>
    </row>
    <row r="631" spans="4:8" x14ac:dyDescent="0.3">
      <c r="D631" t="s">
        <v>295</v>
      </c>
      <c r="F631" t="s">
        <v>295</v>
      </c>
      <c r="H631" s="16"/>
    </row>
    <row r="632" spans="4:8" x14ac:dyDescent="0.3">
      <c r="D632" t="s">
        <v>295</v>
      </c>
      <c r="F632" t="s">
        <v>295</v>
      </c>
      <c r="H632" s="16"/>
    </row>
    <row r="633" spans="4:8" x14ac:dyDescent="0.3">
      <c r="D633" t="s">
        <v>295</v>
      </c>
      <c r="F633" t="s">
        <v>295</v>
      </c>
      <c r="H633" s="16"/>
    </row>
    <row r="634" spans="4:8" x14ac:dyDescent="0.3">
      <c r="D634" t="s">
        <v>295</v>
      </c>
      <c r="F634" t="s">
        <v>295</v>
      </c>
      <c r="H634" s="16"/>
    </row>
    <row r="635" spans="4:8" x14ac:dyDescent="0.3">
      <c r="D635" t="s">
        <v>295</v>
      </c>
      <c r="F635" t="s">
        <v>295</v>
      </c>
      <c r="H635" s="16"/>
    </row>
    <row r="636" spans="4:8" x14ac:dyDescent="0.3">
      <c r="D636" t="s">
        <v>295</v>
      </c>
      <c r="F636" t="s">
        <v>295</v>
      </c>
      <c r="H636" s="16"/>
    </row>
    <row r="637" spans="4:8" x14ac:dyDescent="0.3">
      <c r="D637" t="s">
        <v>295</v>
      </c>
      <c r="F637" t="s">
        <v>295</v>
      </c>
      <c r="H637" s="16"/>
    </row>
    <row r="638" spans="4:8" x14ac:dyDescent="0.3">
      <c r="D638" t="s">
        <v>295</v>
      </c>
      <c r="F638" t="s">
        <v>295</v>
      </c>
      <c r="H638" s="16"/>
    </row>
    <row r="639" spans="4:8" x14ac:dyDescent="0.3">
      <c r="D639" t="s">
        <v>295</v>
      </c>
      <c r="F639" t="s">
        <v>295</v>
      </c>
      <c r="H639" s="16"/>
    </row>
    <row r="640" spans="4:8" x14ac:dyDescent="0.3">
      <c r="D640" t="s">
        <v>295</v>
      </c>
      <c r="F640" t="s">
        <v>295</v>
      </c>
      <c r="H640" s="16"/>
    </row>
    <row r="641" spans="4:8" x14ac:dyDescent="0.3">
      <c r="D641" t="s">
        <v>295</v>
      </c>
      <c r="F641" t="s">
        <v>295</v>
      </c>
      <c r="H641" s="16"/>
    </row>
    <row r="642" spans="4:8" x14ac:dyDescent="0.3">
      <c r="D642" t="s">
        <v>295</v>
      </c>
      <c r="F642" t="s">
        <v>295</v>
      </c>
      <c r="H642" s="16"/>
    </row>
    <row r="643" spans="4:8" x14ac:dyDescent="0.3">
      <c r="D643" t="s">
        <v>295</v>
      </c>
      <c r="F643" t="s">
        <v>295</v>
      </c>
      <c r="H643" s="16"/>
    </row>
    <row r="644" spans="4:8" x14ac:dyDescent="0.3">
      <c r="D644" t="s">
        <v>295</v>
      </c>
      <c r="F644" t="s">
        <v>295</v>
      </c>
      <c r="H644" s="16"/>
    </row>
    <row r="645" spans="4:8" x14ac:dyDescent="0.3">
      <c r="D645" t="s">
        <v>295</v>
      </c>
      <c r="F645" t="s">
        <v>295</v>
      </c>
      <c r="H645" s="16"/>
    </row>
    <row r="646" spans="4:8" x14ac:dyDescent="0.3">
      <c r="D646" t="s">
        <v>295</v>
      </c>
      <c r="F646" t="s">
        <v>295</v>
      </c>
      <c r="H646" s="16"/>
    </row>
    <row r="647" spans="4:8" x14ac:dyDescent="0.3">
      <c r="D647" t="s">
        <v>295</v>
      </c>
      <c r="F647" t="s">
        <v>295</v>
      </c>
      <c r="H647" s="16"/>
    </row>
    <row r="648" spans="4:8" x14ac:dyDescent="0.3">
      <c r="D648" t="s">
        <v>295</v>
      </c>
      <c r="F648" t="s">
        <v>295</v>
      </c>
      <c r="H648" s="16"/>
    </row>
    <row r="649" spans="4:8" x14ac:dyDescent="0.3">
      <c r="D649" t="s">
        <v>295</v>
      </c>
      <c r="F649" t="s">
        <v>295</v>
      </c>
      <c r="H649" s="16"/>
    </row>
    <row r="650" spans="4:8" x14ac:dyDescent="0.3">
      <c r="D650" t="s">
        <v>295</v>
      </c>
      <c r="F650" t="s">
        <v>295</v>
      </c>
      <c r="H650" s="16"/>
    </row>
    <row r="651" spans="4:8" x14ac:dyDescent="0.3">
      <c r="D651" t="s">
        <v>295</v>
      </c>
      <c r="F651" t="s">
        <v>295</v>
      </c>
      <c r="H651" s="16"/>
    </row>
    <row r="652" spans="4:8" x14ac:dyDescent="0.3">
      <c r="D652" t="s">
        <v>295</v>
      </c>
      <c r="F652" t="s">
        <v>295</v>
      </c>
      <c r="H652" s="16"/>
    </row>
    <row r="653" spans="4:8" x14ac:dyDescent="0.3">
      <c r="D653" t="s">
        <v>295</v>
      </c>
      <c r="F653" t="s">
        <v>295</v>
      </c>
      <c r="H653" s="16"/>
    </row>
    <row r="654" spans="4:8" x14ac:dyDescent="0.3">
      <c r="D654" t="s">
        <v>295</v>
      </c>
      <c r="F654" t="s">
        <v>295</v>
      </c>
      <c r="H654" s="16"/>
    </row>
    <row r="655" spans="4:8" x14ac:dyDescent="0.3">
      <c r="D655" t="s">
        <v>295</v>
      </c>
      <c r="F655" t="s">
        <v>295</v>
      </c>
      <c r="H655" s="16"/>
    </row>
    <row r="656" spans="4:8" x14ac:dyDescent="0.3">
      <c r="D656" t="s">
        <v>295</v>
      </c>
      <c r="F656" t="s">
        <v>295</v>
      </c>
      <c r="H656" s="16"/>
    </row>
    <row r="657" spans="4:8" x14ac:dyDescent="0.3">
      <c r="D657" t="s">
        <v>295</v>
      </c>
      <c r="F657" t="s">
        <v>295</v>
      </c>
      <c r="H657" s="16"/>
    </row>
    <row r="658" spans="4:8" x14ac:dyDescent="0.3">
      <c r="D658" t="s">
        <v>295</v>
      </c>
      <c r="F658" t="s">
        <v>295</v>
      </c>
      <c r="H658" s="16"/>
    </row>
    <row r="659" spans="4:8" x14ac:dyDescent="0.3">
      <c r="D659" t="s">
        <v>295</v>
      </c>
      <c r="F659" t="s">
        <v>295</v>
      </c>
      <c r="H659" s="16"/>
    </row>
    <row r="660" spans="4:8" x14ac:dyDescent="0.3">
      <c r="D660" t="s">
        <v>295</v>
      </c>
      <c r="F660" t="s">
        <v>295</v>
      </c>
      <c r="H660" s="16"/>
    </row>
    <row r="661" spans="4:8" x14ac:dyDescent="0.3">
      <c r="D661" t="s">
        <v>295</v>
      </c>
      <c r="F661" t="s">
        <v>295</v>
      </c>
      <c r="H661" s="16"/>
    </row>
    <row r="662" spans="4:8" x14ac:dyDescent="0.3">
      <c r="D662" t="s">
        <v>295</v>
      </c>
      <c r="F662" t="s">
        <v>295</v>
      </c>
      <c r="H662" s="16"/>
    </row>
    <row r="663" spans="4:8" x14ac:dyDescent="0.3">
      <c r="D663" t="s">
        <v>295</v>
      </c>
      <c r="F663" t="s">
        <v>295</v>
      </c>
      <c r="H663" s="16"/>
    </row>
    <row r="664" spans="4:8" x14ac:dyDescent="0.3">
      <c r="D664" t="s">
        <v>295</v>
      </c>
      <c r="F664" t="s">
        <v>295</v>
      </c>
      <c r="H664" s="16"/>
    </row>
    <row r="665" spans="4:8" x14ac:dyDescent="0.3">
      <c r="D665" t="s">
        <v>295</v>
      </c>
      <c r="F665" t="s">
        <v>295</v>
      </c>
      <c r="H665" s="16"/>
    </row>
    <row r="666" spans="4:8" x14ac:dyDescent="0.3">
      <c r="D666" t="s">
        <v>295</v>
      </c>
      <c r="F666" t="s">
        <v>295</v>
      </c>
      <c r="H666" s="16"/>
    </row>
    <row r="667" spans="4:8" x14ac:dyDescent="0.3">
      <c r="D667" t="s">
        <v>295</v>
      </c>
      <c r="F667" t="s">
        <v>295</v>
      </c>
      <c r="H667" s="16"/>
    </row>
    <row r="668" spans="4:8" x14ac:dyDescent="0.3">
      <c r="D668" t="s">
        <v>295</v>
      </c>
      <c r="F668" t="s">
        <v>295</v>
      </c>
      <c r="H668" s="16"/>
    </row>
    <row r="669" spans="4:8" x14ac:dyDescent="0.3">
      <c r="D669" t="s">
        <v>295</v>
      </c>
      <c r="F669" t="s">
        <v>295</v>
      </c>
      <c r="H669" s="16"/>
    </row>
    <row r="670" spans="4:8" x14ac:dyDescent="0.3">
      <c r="D670" t="s">
        <v>295</v>
      </c>
      <c r="F670" t="s">
        <v>295</v>
      </c>
      <c r="H670" s="16"/>
    </row>
    <row r="671" spans="4:8" x14ac:dyDescent="0.3">
      <c r="D671" t="s">
        <v>295</v>
      </c>
      <c r="F671" t="s">
        <v>295</v>
      </c>
      <c r="H671" s="16"/>
    </row>
    <row r="672" spans="4:8" x14ac:dyDescent="0.3">
      <c r="D672" t="s">
        <v>295</v>
      </c>
      <c r="F672" t="s">
        <v>295</v>
      </c>
      <c r="H672" s="16"/>
    </row>
    <row r="673" spans="4:8" x14ac:dyDescent="0.3">
      <c r="D673" t="s">
        <v>295</v>
      </c>
      <c r="F673" t="s">
        <v>295</v>
      </c>
      <c r="H673" s="16"/>
    </row>
    <row r="674" spans="4:8" x14ac:dyDescent="0.3">
      <c r="D674" t="s">
        <v>295</v>
      </c>
      <c r="F674" t="s">
        <v>295</v>
      </c>
      <c r="H674" s="16"/>
    </row>
    <row r="675" spans="4:8" x14ac:dyDescent="0.3">
      <c r="D675" t="s">
        <v>295</v>
      </c>
      <c r="F675" t="s">
        <v>295</v>
      </c>
      <c r="H675" s="16"/>
    </row>
    <row r="676" spans="4:8" x14ac:dyDescent="0.3">
      <c r="D676" t="s">
        <v>295</v>
      </c>
      <c r="F676" t="s">
        <v>295</v>
      </c>
      <c r="H676" s="16"/>
    </row>
    <row r="677" spans="4:8" x14ac:dyDescent="0.3">
      <c r="D677" t="s">
        <v>295</v>
      </c>
      <c r="F677" t="s">
        <v>295</v>
      </c>
      <c r="H677" s="16"/>
    </row>
    <row r="678" spans="4:8" x14ac:dyDescent="0.3">
      <c r="D678" t="s">
        <v>295</v>
      </c>
      <c r="F678" t="s">
        <v>295</v>
      </c>
      <c r="H678" s="16"/>
    </row>
    <row r="679" spans="4:8" x14ac:dyDescent="0.3">
      <c r="D679" t="s">
        <v>295</v>
      </c>
      <c r="F679" t="s">
        <v>295</v>
      </c>
      <c r="H679" s="16"/>
    </row>
    <row r="680" spans="4:8" x14ac:dyDescent="0.3">
      <c r="D680" t="s">
        <v>295</v>
      </c>
      <c r="F680" t="s">
        <v>295</v>
      </c>
      <c r="H680" s="16"/>
    </row>
    <row r="681" spans="4:8" x14ac:dyDescent="0.3">
      <c r="D681" t="s">
        <v>295</v>
      </c>
      <c r="F681" t="s">
        <v>295</v>
      </c>
      <c r="H681" s="16"/>
    </row>
    <row r="682" spans="4:8" x14ac:dyDescent="0.3">
      <c r="D682" t="s">
        <v>295</v>
      </c>
      <c r="F682" t="s">
        <v>295</v>
      </c>
      <c r="H682" s="16"/>
    </row>
    <row r="683" spans="4:8" x14ac:dyDescent="0.3">
      <c r="D683" t="s">
        <v>295</v>
      </c>
      <c r="F683" t="s">
        <v>295</v>
      </c>
      <c r="H683" s="16"/>
    </row>
    <row r="684" spans="4:8" x14ac:dyDescent="0.3">
      <c r="D684" t="s">
        <v>295</v>
      </c>
      <c r="F684" t="s">
        <v>295</v>
      </c>
      <c r="H684" s="16"/>
    </row>
    <row r="685" spans="4:8" x14ac:dyDescent="0.3">
      <c r="D685" t="s">
        <v>295</v>
      </c>
      <c r="F685" t="s">
        <v>295</v>
      </c>
      <c r="H685" s="16"/>
    </row>
    <row r="686" spans="4:8" x14ac:dyDescent="0.3">
      <c r="D686" t="s">
        <v>295</v>
      </c>
      <c r="F686" t="s">
        <v>295</v>
      </c>
      <c r="H686" s="16"/>
    </row>
    <row r="687" spans="4:8" x14ac:dyDescent="0.3">
      <c r="D687" t="s">
        <v>295</v>
      </c>
      <c r="F687" t="s">
        <v>295</v>
      </c>
      <c r="H687" s="16"/>
    </row>
    <row r="688" spans="4:8" x14ac:dyDescent="0.3">
      <c r="D688" t="s">
        <v>295</v>
      </c>
      <c r="F688" t="s">
        <v>295</v>
      </c>
      <c r="H688" s="16"/>
    </row>
    <row r="689" spans="4:8" x14ac:dyDescent="0.3">
      <c r="D689" t="s">
        <v>295</v>
      </c>
      <c r="F689" t="s">
        <v>295</v>
      </c>
      <c r="H689" s="16"/>
    </row>
    <row r="690" spans="4:8" x14ac:dyDescent="0.3">
      <c r="D690" t="s">
        <v>295</v>
      </c>
      <c r="F690" t="s">
        <v>295</v>
      </c>
      <c r="H690" s="16"/>
    </row>
    <row r="691" spans="4:8" x14ac:dyDescent="0.3">
      <c r="D691" t="s">
        <v>295</v>
      </c>
      <c r="F691" t="s">
        <v>295</v>
      </c>
      <c r="H691" s="16"/>
    </row>
    <row r="692" spans="4:8" x14ac:dyDescent="0.3">
      <c r="D692" t="s">
        <v>295</v>
      </c>
      <c r="F692" t="s">
        <v>295</v>
      </c>
      <c r="H692" s="16"/>
    </row>
    <row r="693" spans="4:8" x14ac:dyDescent="0.3">
      <c r="D693" t="s">
        <v>295</v>
      </c>
      <c r="F693" t="s">
        <v>295</v>
      </c>
      <c r="H693" s="16"/>
    </row>
    <row r="694" spans="4:8" x14ac:dyDescent="0.3">
      <c r="D694" t="s">
        <v>295</v>
      </c>
      <c r="F694" t="s">
        <v>295</v>
      </c>
      <c r="H694" s="16"/>
    </row>
    <row r="695" spans="4:8" x14ac:dyDescent="0.3">
      <c r="D695" t="s">
        <v>295</v>
      </c>
      <c r="F695" t="s">
        <v>295</v>
      </c>
      <c r="H695" s="16"/>
    </row>
    <row r="696" spans="4:8" x14ac:dyDescent="0.3">
      <c r="D696" t="s">
        <v>295</v>
      </c>
      <c r="F696" t="s">
        <v>295</v>
      </c>
      <c r="H696" s="16"/>
    </row>
    <row r="697" spans="4:8" x14ac:dyDescent="0.3">
      <c r="D697" t="s">
        <v>295</v>
      </c>
      <c r="F697" t="s">
        <v>295</v>
      </c>
      <c r="H697" s="16"/>
    </row>
    <row r="698" spans="4:8" x14ac:dyDescent="0.3">
      <c r="D698" t="s">
        <v>295</v>
      </c>
      <c r="F698" t="s">
        <v>295</v>
      </c>
      <c r="H698" s="16"/>
    </row>
    <row r="699" spans="4:8" x14ac:dyDescent="0.3">
      <c r="D699" t="s">
        <v>295</v>
      </c>
      <c r="F699" t="s">
        <v>295</v>
      </c>
      <c r="H699" s="16"/>
    </row>
    <row r="700" spans="4:8" x14ac:dyDescent="0.3">
      <c r="D700" t="s">
        <v>295</v>
      </c>
      <c r="F700" t="s">
        <v>295</v>
      </c>
      <c r="H700" s="16"/>
    </row>
    <row r="701" spans="4:8" x14ac:dyDescent="0.3">
      <c r="D701" t="s">
        <v>295</v>
      </c>
      <c r="F701" t="s">
        <v>295</v>
      </c>
      <c r="H701" s="16"/>
    </row>
    <row r="702" spans="4:8" x14ac:dyDescent="0.3">
      <c r="D702" t="s">
        <v>295</v>
      </c>
      <c r="F702" t="s">
        <v>295</v>
      </c>
      <c r="H702" s="16"/>
    </row>
    <row r="703" spans="4:8" x14ac:dyDescent="0.3">
      <c r="D703" t="s">
        <v>295</v>
      </c>
      <c r="F703" t="s">
        <v>295</v>
      </c>
      <c r="H703" s="16"/>
    </row>
    <row r="704" spans="4:8" x14ac:dyDescent="0.3">
      <c r="D704" t="s">
        <v>295</v>
      </c>
      <c r="F704" t="s">
        <v>295</v>
      </c>
      <c r="H704" s="16"/>
    </row>
    <row r="705" spans="4:8" x14ac:dyDescent="0.3">
      <c r="D705" t="s">
        <v>295</v>
      </c>
      <c r="F705" t="s">
        <v>295</v>
      </c>
      <c r="H705" s="16"/>
    </row>
    <row r="706" spans="4:8" x14ac:dyDescent="0.3">
      <c r="D706" t="s">
        <v>295</v>
      </c>
      <c r="F706" t="s">
        <v>295</v>
      </c>
      <c r="H706" s="16"/>
    </row>
    <row r="707" spans="4:8" x14ac:dyDescent="0.3">
      <c r="D707" t="s">
        <v>295</v>
      </c>
      <c r="F707" t="s">
        <v>295</v>
      </c>
      <c r="H707" s="16"/>
    </row>
    <row r="708" spans="4:8" x14ac:dyDescent="0.3">
      <c r="D708" t="s">
        <v>295</v>
      </c>
      <c r="F708" t="s">
        <v>295</v>
      </c>
      <c r="H708" s="16"/>
    </row>
    <row r="709" spans="4:8" x14ac:dyDescent="0.3">
      <c r="D709" t="s">
        <v>295</v>
      </c>
      <c r="F709" t="s">
        <v>295</v>
      </c>
      <c r="H709" s="16"/>
    </row>
    <row r="710" spans="4:8" x14ac:dyDescent="0.3">
      <c r="D710" t="s">
        <v>295</v>
      </c>
      <c r="F710" t="s">
        <v>295</v>
      </c>
      <c r="H710" s="16"/>
    </row>
    <row r="711" spans="4:8" x14ac:dyDescent="0.3">
      <c r="D711" t="s">
        <v>295</v>
      </c>
      <c r="F711" t="s">
        <v>295</v>
      </c>
      <c r="H711" s="16"/>
    </row>
    <row r="712" spans="4:8" x14ac:dyDescent="0.3">
      <c r="D712" t="s">
        <v>295</v>
      </c>
      <c r="F712" t="s">
        <v>295</v>
      </c>
      <c r="H712" s="16"/>
    </row>
    <row r="713" spans="4:8" x14ac:dyDescent="0.3">
      <c r="D713" t="s">
        <v>295</v>
      </c>
      <c r="F713" t="s">
        <v>295</v>
      </c>
      <c r="H713" s="16"/>
    </row>
    <row r="714" spans="4:8" x14ac:dyDescent="0.3">
      <c r="D714" t="s">
        <v>295</v>
      </c>
      <c r="F714" t="s">
        <v>295</v>
      </c>
      <c r="H714" s="16"/>
    </row>
    <row r="715" spans="4:8" x14ac:dyDescent="0.3">
      <c r="D715" t="s">
        <v>295</v>
      </c>
      <c r="F715" t="s">
        <v>295</v>
      </c>
      <c r="H715" s="16"/>
    </row>
    <row r="716" spans="4:8" x14ac:dyDescent="0.3">
      <c r="D716" t="s">
        <v>295</v>
      </c>
      <c r="F716" t="s">
        <v>295</v>
      </c>
      <c r="H716" s="16"/>
    </row>
    <row r="717" spans="4:8" x14ac:dyDescent="0.3">
      <c r="D717" t="s">
        <v>295</v>
      </c>
      <c r="F717" t="s">
        <v>295</v>
      </c>
      <c r="H717" s="16"/>
    </row>
    <row r="718" spans="4:8" x14ac:dyDescent="0.3">
      <c r="D718" t="s">
        <v>295</v>
      </c>
      <c r="F718" t="s">
        <v>295</v>
      </c>
      <c r="H718" s="16"/>
    </row>
    <row r="719" spans="4:8" x14ac:dyDescent="0.3">
      <c r="D719" t="s">
        <v>295</v>
      </c>
      <c r="F719" t="s">
        <v>295</v>
      </c>
      <c r="H719" s="16"/>
    </row>
    <row r="720" spans="4:8" x14ac:dyDescent="0.3">
      <c r="D720" t="s">
        <v>295</v>
      </c>
      <c r="F720" t="s">
        <v>295</v>
      </c>
      <c r="H720" s="16"/>
    </row>
    <row r="721" spans="4:8" x14ac:dyDescent="0.3">
      <c r="D721" t="s">
        <v>295</v>
      </c>
      <c r="F721" t="s">
        <v>295</v>
      </c>
      <c r="H721" s="16"/>
    </row>
    <row r="722" spans="4:8" x14ac:dyDescent="0.3">
      <c r="D722" t="s">
        <v>295</v>
      </c>
      <c r="F722" t="s">
        <v>295</v>
      </c>
      <c r="H722" s="16"/>
    </row>
    <row r="723" spans="4:8" x14ac:dyDescent="0.3">
      <c r="D723" t="s">
        <v>295</v>
      </c>
      <c r="F723" t="s">
        <v>295</v>
      </c>
      <c r="H723" s="16"/>
    </row>
    <row r="724" spans="4:8" x14ac:dyDescent="0.3">
      <c r="D724" t="s">
        <v>295</v>
      </c>
      <c r="F724" t="s">
        <v>295</v>
      </c>
      <c r="H724" s="16"/>
    </row>
    <row r="725" spans="4:8" x14ac:dyDescent="0.3">
      <c r="D725" t="s">
        <v>295</v>
      </c>
      <c r="F725" t="s">
        <v>295</v>
      </c>
      <c r="H725" s="16"/>
    </row>
    <row r="726" spans="4:8" x14ac:dyDescent="0.3">
      <c r="D726" t="s">
        <v>295</v>
      </c>
      <c r="F726" t="s">
        <v>295</v>
      </c>
      <c r="H726" s="16"/>
    </row>
    <row r="727" spans="4:8" x14ac:dyDescent="0.3">
      <c r="D727" t="s">
        <v>295</v>
      </c>
      <c r="F727" t="s">
        <v>295</v>
      </c>
      <c r="H727" s="16"/>
    </row>
    <row r="728" spans="4:8" x14ac:dyDescent="0.3">
      <c r="D728" t="s">
        <v>295</v>
      </c>
      <c r="F728" t="s">
        <v>295</v>
      </c>
      <c r="H728" s="16"/>
    </row>
    <row r="729" spans="4:8" x14ac:dyDescent="0.3">
      <c r="D729" t="s">
        <v>295</v>
      </c>
      <c r="F729" t="s">
        <v>295</v>
      </c>
      <c r="H729" s="16"/>
    </row>
    <row r="730" spans="4:8" x14ac:dyDescent="0.3">
      <c r="D730" t="s">
        <v>295</v>
      </c>
      <c r="F730" t="s">
        <v>295</v>
      </c>
      <c r="H730" s="16"/>
    </row>
    <row r="731" spans="4:8" x14ac:dyDescent="0.3">
      <c r="D731" t="s">
        <v>295</v>
      </c>
      <c r="F731" t="s">
        <v>295</v>
      </c>
      <c r="H731" s="16"/>
    </row>
    <row r="732" spans="4:8" x14ac:dyDescent="0.3">
      <c r="D732" t="s">
        <v>295</v>
      </c>
      <c r="F732" t="s">
        <v>295</v>
      </c>
      <c r="H732" s="16"/>
    </row>
    <row r="733" spans="4:8" x14ac:dyDescent="0.3">
      <c r="D733" t="s">
        <v>295</v>
      </c>
      <c r="F733" t="s">
        <v>295</v>
      </c>
      <c r="H733" s="16"/>
    </row>
    <row r="734" spans="4:8" x14ac:dyDescent="0.3">
      <c r="D734" t="s">
        <v>295</v>
      </c>
      <c r="F734" t="s">
        <v>295</v>
      </c>
      <c r="H734" s="16"/>
    </row>
    <row r="735" spans="4:8" x14ac:dyDescent="0.3">
      <c r="D735" t="s">
        <v>295</v>
      </c>
      <c r="F735" t="s">
        <v>295</v>
      </c>
      <c r="H735" s="16"/>
    </row>
    <row r="736" spans="4:8" x14ac:dyDescent="0.3">
      <c r="D736" t="s">
        <v>295</v>
      </c>
      <c r="F736" t="s">
        <v>295</v>
      </c>
      <c r="H736" s="16"/>
    </row>
    <row r="737" spans="4:8" x14ac:dyDescent="0.3">
      <c r="D737" t="s">
        <v>295</v>
      </c>
      <c r="F737" t="s">
        <v>295</v>
      </c>
      <c r="H737" s="16"/>
    </row>
    <row r="738" spans="4:8" x14ac:dyDescent="0.3">
      <c r="D738" t="s">
        <v>295</v>
      </c>
      <c r="F738" t="s">
        <v>295</v>
      </c>
      <c r="H738" s="16"/>
    </row>
    <row r="739" spans="4:8" x14ac:dyDescent="0.3">
      <c r="D739" t="s">
        <v>295</v>
      </c>
      <c r="F739" t="s">
        <v>295</v>
      </c>
      <c r="H739" s="16"/>
    </row>
    <row r="740" spans="4:8" x14ac:dyDescent="0.3">
      <c r="D740" t="s">
        <v>295</v>
      </c>
      <c r="F740" t="s">
        <v>295</v>
      </c>
      <c r="H740" s="16"/>
    </row>
    <row r="741" spans="4:8" x14ac:dyDescent="0.3">
      <c r="D741" t="s">
        <v>295</v>
      </c>
      <c r="F741" t="s">
        <v>295</v>
      </c>
      <c r="H741" s="16"/>
    </row>
    <row r="742" spans="4:8" x14ac:dyDescent="0.3">
      <c r="D742" t="s">
        <v>295</v>
      </c>
      <c r="F742" t="s">
        <v>295</v>
      </c>
      <c r="H742" s="16"/>
    </row>
    <row r="743" spans="4:8" x14ac:dyDescent="0.3">
      <c r="D743" t="s">
        <v>295</v>
      </c>
      <c r="F743" t="s">
        <v>295</v>
      </c>
      <c r="H743" s="16"/>
    </row>
    <row r="744" spans="4:8" x14ac:dyDescent="0.3">
      <c r="D744" t="s">
        <v>295</v>
      </c>
      <c r="F744" t="s">
        <v>295</v>
      </c>
      <c r="H744" s="16"/>
    </row>
    <row r="745" spans="4:8" x14ac:dyDescent="0.3">
      <c r="D745" t="s">
        <v>295</v>
      </c>
      <c r="F745" t="s">
        <v>295</v>
      </c>
      <c r="H745" s="16"/>
    </row>
    <row r="746" spans="4:8" x14ac:dyDescent="0.3">
      <c r="D746" t="s">
        <v>295</v>
      </c>
      <c r="F746" t="s">
        <v>295</v>
      </c>
      <c r="H746" s="16"/>
    </row>
    <row r="747" spans="4:8" x14ac:dyDescent="0.3">
      <c r="D747" t="s">
        <v>295</v>
      </c>
      <c r="F747" t="s">
        <v>295</v>
      </c>
      <c r="H747" s="16"/>
    </row>
    <row r="748" spans="4:8" x14ac:dyDescent="0.3">
      <c r="D748" t="s">
        <v>295</v>
      </c>
      <c r="F748" t="s">
        <v>295</v>
      </c>
      <c r="H748" s="16"/>
    </row>
    <row r="749" spans="4:8" x14ac:dyDescent="0.3">
      <c r="D749" t="s">
        <v>295</v>
      </c>
      <c r="F749" t="s">
        <v>295</v>
      </c>
      <c r="H749" s="16"/>
    </row>
    <row r="750" spans="4:8" x14ac:dyDescent="0.3">
      <c r="D750" t="s">
        <v>295</v>
      </c>
      <c r="F750" t="s">
        <v>295</v>
      </c>
      <c r="H750" s="16"/>
    </row>
    <row r="751" spans="4:8" x14ac:dyDescent="0.3">
      <c r="D751" t="s">
        <v>295</v>
      </c>
      <c r="F751" t="s">
        <v>295</v>
      </c>
      <c r="H751" s="16"/>
    </row>
    <row r="752" spans="4:8" x14ac:dyDescent="0.3">
      <c r="D752" t="s">
        <v>295</v>
      </c>
      <c r="F752" t="s">
        <v>295</v>
      </c>
      <c r="H752" s="16"/>
    </row>
    <row r="753" spans="4:8" x14ac:dyDescent="0.3">
      <c r="D753" t="s">
        <v>295</v>
      </c>
      <c r="F753" t="s">
        <v>295</v>
      </c>
      <c r="H753" s="16"/>
    </row>
    <row r="754" spans="4:8" x14ac:dyDescent="0.3">
      <c r="D754" t="s">
        <v>295</v>
      </c>
      <c r="F754" t="s">
        <v>295</v>
      </c>
      <c r="H754" s="16"/>
    </row>
    <row r="755" spans="4:8" x14ac:dyDescent="0.3">
      <c r="D755" t="s">
        <v>295</v>
      </c>
      <c r="F755" t="s">
        <v>295</v>
      </c>
      <c r="H755" s="16"/>
    </row>
    <row r="756" spans="4:8" x14ac:dyDescent="0.3">
      <c r="D756" t="s">
        <v>295</v>
      </c>
      <c r="F756" t="s">
        <v>295</v>
      </c>
      <c r="H756" s="16"/>
    </row>
    <row r="757" spans="4:8" x14ac:dyDescent="0.3">
      <c r="D757" t="s">
        <v>295</v>
      </c>
      <c r="F757" t="s">
        <v>295</v>
      </c>
      <c r="H757" s="16"/>
    </row>
    <row r="758" spans="4:8" x14ac:dyDescent="0.3">
      <c r="D758" t="s">
        <v>295</v>
      </c>
      <c r="F758" t="s">
        <v>295</v>
      </c>
      <c r="H758" s="16"/>
    </row>
    <row r="759" spans="4:8" x14ac:dyDescent="0.3">
      <c r="D759" t="s">
        <v>295</v>
      </c>
      <c r="F759" t="s">
        <v>295</v>
      </c>
      <c r="H759" s="16"/>
    </row>
    <row r="760" spans="4:8" x14ac:dyDescent="0.3">
      <c r="D760" t="s">
        <v>295</v>
      </c>
      <c r="F760" t="s">
        <v>295</v>
      </c>
      <c r="H760" s="16"/>
    </row>
    <row r="761" spans="4:8" x14ac:dyDescent="0.3">
      <c r="D761" t="s">
        <v>295</v>
      </c>
      <c r="F761" t="s">
        <v>295</v>
      </c>
      <c r="H761" s="16"/>
    </row>
    <row r="762" spans="4:8" x14ac:dyDescent="0.3">
      <c r="D762" t="s">
        <v>295</v>
      </c>
      <c r="F762" t="s">
        <v>295</v>
      </c>
      <c r="H762" s="16"/>
    </row>
    <row r="763" spans="4:8" x14ac:dyDescent="0.3">
      <c r="D763" t="s">
        <v>295</v>
      </c>
      <c r="F763" t="s">
        <v>295</v>
      </c>
      <c r="H763" s="16"/>
    </row>
    <row r="764" spans="4:8" x14ac:dyDescent="0.3">
      <c r="D764" t="s">
        <v>295</v>
      </c>
      <c r="F764" t="s">
        <v>295</v>
      </c>
      <c r="H764" s="16"/>
    </row>
    <row r="765" spans="4:8" x14ac:dyDescent="0.3">
      <c r="D765" t="s">
        <v>295</v>
      </c>
      <c r="F765" t="s">
        <v>295</v>
      </c>
      <c r="H765" s="16"/>
    </row>
    <row r="766" spans="4:8" x14ac:dyDescent="0.3">
      <c r="D766" t="s">
        <v>295</v>
      </c>
      <c r="F766" t="s">
        <v>295</v>
      </c>
      <c r="H766" s="16"/>
    </row>
    <row r="767" spans="4:8" x14ac:dyDescent="0.3">
      <c r="D767" t="s">
        <v>295</v>
      </c>
      <c r="F767" t="s">
        <v>295</v>
      </c>
      <c r="H767" s="16"/>
    </row>
    <row r="768" spans="4:8" x14ac:dyDescent="0.3">
      <c r="D768" t="s">
        <v>295</v>
      </c>
      <c r="F768" t="s">
        <v>295</v>
      </c>
      <c r="H768" s="16"/>
    </row>
    <row r="769" spans="4:8" x14ac:dyDescent="0.3">
      <c r="D769" t="s">
        <v>295</v>
      </c>
      <c r="F769" t="s">
        <v>295</v>
      </c>
      <c r="H769" s="16"/>
    </row>
    <row r="770" spans="4:8" x14ac:dyDescent="0.3">
      <c r="D770" t="s">
        <v>295</v>
      </c>
      <c r="F770" t="s">
        <v>295</v>
      </c>
      <c r="H770" s="16"/>
    </row>
    <row r="771" spans="4:8" x14ac:dyDescent="0.3">
      <c r="D771" t="s">
        <v>295</v>
      </c>
      <c r="F771" t="s">
        <v>295</v>
      </c>
      <c r="H771" s="16"/>
    </row>
    <row r="772" spans="4:8" x14ac:dyDescent="0.3">
      <c r="D772" t="s">
        <v>295</v>
      </c>
      <c r="F772" t="s">
        <v>295</v>
      </c>
      <c r="H772" s="16"/>
    </row>
    <row r="773" spans="4:8" x14ac:dyDescent="0.3">
      <c r="D773" t="s">
        <v>295</v>
      </c>
      <c r="F773" t="s">
        <v>295</v>
      </c>
      <c r="H773" s="16"/>
    </row>
    <row r="774" spans="4:8" x14ac:dyDescent="0.3">
      <c r="D774" t="s">
        <v>295</v>
      </c>
      <c r="F774" t="s">
        <v>295</v>
      </c>
      <c r="H774" s="16"/>
    </row>
    <row r="775" spans="4:8" x14ac:dyDescent="0.3">
      <c r="D775" t="s">
        <v>295</v>
      </c>
      <c r="F775" t="s">
        <v>295</v>
      </c>
      <c r="H775" s="16"/>
    </row>
    <row r="776" spans="4:8" x14ac:dyDescent="0.3">
      <c r="D776" t="s">
        <v>295</v>
      </c>
      <c r="F776" t="s">
        <v>295</v>
      </c>
      <c r="H776" s="16"/>
    </row>
    <row r="777" spans="4:8" x14ac:dyDescent="0.3">
      <c r="D777" t="s">
        <v>295</v>
      </c>
      <c r="F777" t="s">
        <v>295</v>
      </c>
      <c r="H777" s="16"/>
    </row>
    <row r="778" spans="4:8" x14ac:dyDescent="0.3">
      <c r="D778" t="s">
        <v>295</v>
      </c>
      <c r="F778" t="s">
        <v>295</v>
      </c>
      <c r="H778" s="16"/>
    </row>
    <row r="779" spans="4:8" x14ac:dyDescent="0.3">
      <c r="D779" t="s">
        <v>295</v>
      </c>
      <c r="F779" t="s">
        <v>295</v>
      </c>
      <c r="H779" s="16"/>
    </row>
    <row r="780" spans="4:8" x14ac:dyDescent="0.3">
      <c r="D780" t="s">
        <v>295</v>
      </c>
      <c r="F780" t="s">
        <v>295</v>
      </c>
      <c r="H780" s="16"/>
    </row>
    <row r="781" spans="4:8" x14ac:dyDescent="0.3">
      <c r="D781" t="s">
        <v>295</v>
      </c>
      <c r="F781" t="s">
        <v>295</v>
      </c>
      <c r="H781" s="16"/>
    </row>
    <row r="782" spans="4:8" x14ac:dyDescent="0.3">
      <c r="D782" t="s">
        <v>295</v>
      </c>
      <c r="F782" t="s">
        <v>295</v>
      </c>
      <c r="H782" s="16"/>
    </row>
    <row r="783" spans="4:8" x14ac:dyDescent="0.3">
      <c r="D783" t="s">
        <v>295</v>
      </c>
      <c r="F783" t="s">
        <v>295</v>
      </c>
      <c r="H783" s="16"/>
    </row>
    <row r="784" spans="4:8" x14ac:dyDescent="0.3">
      <c r="D784" t="s">
        <v>295</v>
      </c>
      <c r="F784" t="s">
        <v>295</v>
      </c>
      <c r="H784" s="16"/>
    </row>
    <row r="785" spans="4:8" x14ac:dyDescent="0.3">
      <c r="D785" t="s">
        <v>295</v>
      </c>
      <c r="F785" t="s">
        <v>295</v>
      </c>
      <c r="H785" s="16"/>
    </row>
    <row r="786" spans="4:8" x14ac:dyDescent="0.3">
      <c r="D786" t="s">
        <v>295</v>
      </c>
      <c r="F786" t="s">
        <v>295</v>
      </c>
      <c r="H786" s="16"/>
    </row>
    <row r="787" spans="4:8" x14ac:dyDescent="0.3">
      <c r="D787" t="s">
        <v>295</v>
      </c>
      <c r="F787" t="s">
        <v>295</v>
      </c>
      <c r="H787" s="16"/>
    </row>
    <row r="788" spans="4:8" x14ac:dyDescent="0.3">
      <c r="D788" t="s">
        <v>295</v>
      </c>
      <c r="F788" t="s">
        <v>295</v>
      </c>
      <c r="H788" s="16"/>
    </row>
    <row r="789" spans="4:8" x14ac:dyDescent="0.3">
      <c r="D789" t="s">
        <v>295</v>
      </c>
      <c r="F789" t="s">
        <v>295</v>
      </c>
      <c r="H789" s="16"/>
    </row>
    <row r="790" spans="4:8" x14ac:dyDescent="0.3">
      <c r="D790" t="s">
        <v>295</v>
      </c>
      <c r="F790" t="s">
        <v>295</v>
      </c>
      <c r="H790" s="16"/>
    </row>
    <row r="791" spans="4:8" x14ac:dyDescent="0.3">
      <c r="D791" t="s">
        <v>295</v>
      </c>
      <c r="F791" t="s">
        <v>295</v>
      </c>
      <c r="H791" s="16"/>
    </row>
    <row r="792" spans="4:8" x14ac:dyDescent="0.3">
      <c r="D792" t="s">
        <v>295</v>
      </c>
      <c r="F792" t="s">
        <v>295</v>
      </c>
      <c r="H792" s="16"/>
    </row>
    <row r="793" spans="4:8" x14ac:dyDescent="0.3">
      <c r="D793" t="s">
        <v>295</v>
      </c>
      <c r="F793" t="s">
        <v>295</v>
      </c>
      <c r="H793" s="16"/>
    </row>
    <row r="794" spans="4:8" x14ac:dyDescent="0.3">
      <c r="D794" t="s">
        <v>295</v>
      </c>
      <c r="F794" t="s">
        <v>295</v>
      </c>
      <c r="H794" s="16"/>
    </row>
    <row r="795" spans="4:8" x14ac:dyDescent="0.3">
      <c r="D795" t="s">
        <v>295</v>
      </c>
      <c r="F795" t="s">
        <v>295</v>
      </c>
      <c r="H795" s="16"/>
    </row>
    <row r="796" spans="4:8" x14ac:dyDescent="0.3">
      <c r="D796" t="s">
        <v>295</v>
      </c>
      <c r="F796" t="s">
        <v>295</v>
      </c>
      <c r="H796" s="16"/>
    </row>
    <row r="797" spans="4:8" x14ac:dyDescent="0.3">
      <c r="D797" t="s">
        <v>295</v>
      </c>
      <c r="F797" t="s">
        <v>295</v>
      </c>
      <c r="H797" s="16"/>
    </row>
    <row r="798" spans="4:8" x14ac:dyDescent="0.3">
      <c r="D798" t="s">
        <v>295</v>
      </c>
      <c r="F798" t="s">
        <v>295</v>
      </c>
      <c r="H798" s="16"/>
    </row>
    <row r="799" spans="4:8" x14ac:dyDescent="0.3">
      <c r="D799" t="s">
        <v>295</v>
      </c>
      <c r="F799" t="s">
        <v>295</v>
      </c>
      <c r="H799" s="16"/>
    </row>
    <row r="800" spans="4:8" x14ac:dyDescent="0.3">
      <c r="D800" t="s">
        <v>295</v>
      </c>
      <c r="F800" t="s">
        <v>295</v>
      </c>
      <c r="H800" s="16"/>
    </row>
    <row r="801" spans="4:8" x14ac:dyDescent="0.3">
      <c r="D801" t="s">
        <v>295</v>
      </c>
      <c r="F801" t="s">
        <v>295</v>
      </c>
      <c r="H801" s="16"/>
    </row>
    <row r="802" spans="4:8" x14ac:dyDescent="0.3">
      <c r="D802" t="s">
        <v>295</v>
      </c>
      <c r="F802" t="s">
        <v>295</v>
      </c>
      <c r="H802" s="16"/>
    </row>
    <row r="803" spans="4:8" x14ac:dyDescent="0.3">
      <c r="D803" t="s">
        <v>295</v>
      </c>
      <c r="F803" t="s">
        <v>295</v>
      </c>
      <c r="H803" s="16"/>
    </row>
    <row r="804" spans="4:8" x14ac:dyDescent="0.3">
      <c r="D804" t="s">
        <v>295</v>
      </c>
      <c r="F804" t="s">
        <v>295</v>
      </c>
      <c r="H804" s="16"/>
    </row>
    <row r="805" spans="4:8" x14ac:dyDescent="0.3">
      <c r="D805" t="s">
        <v>295</v>
      </c>
      <c r="F805" t="s">
        <v>295</v>
      </c>
      <c r="H805" s="16"/>
    </row>
    <row r="806" spans="4:8" x14ac:dyDescent="0.3">
      <c r="D806" t="s">
        <v>295</v>
      </c>
      <c r="F806" t="s">
        <v>295</v>
      </c>
      <c r="H806" s="16"/>
    </row>
    <row r="807" spans="4:8" x14ac:dyDescent="0.3">
      <c r="D807" t="s">
        <v>295</v>
      </c>
      <c r="F807" t="s">
        <v>295</v>
      </c>
      <c r="H807" s="16"/>
    </row>
    <row r="808" spans="4:8" x14ac:dyDescent="0.3">
      <c r="D808" t="s">
        <v>295</v>
      </c>
      <c r="F808" t="s">
        <v>295</v>
      </c>
      <c r="H808" s="16"/>
    </row>
    <row r="809" spans="4:8" x14ac:dyDescent="0.3">
      <c r="D809" t="s">
        <v>295</v>
      </c>
      <c r="F809" t="s">
        <v>295</v>
      </c>
      <c r="H809" s="16"/>
    </row>
    <row r="810" spans="4:8" x14ac:dyDescent="0.3">
      <c r="D810" t="s">
        <v>295</v>
      </c>
      <c r="F810" t="s">
        <v>295</v>
      </c>
      <c r="H810" s="16"/>
    </row>
    <row r="811" spans="4:8" x14ac:dyDescent="0.3">
      <c r="D811" t="s">
        <v>295</v>
      </c>
      <c r="F811" t="s">
        <v>295</v>
      </c>
      <c r="H811" s="16"/>
    </row>
    <row r="812" spans="4:8" x14ac:dyDescent="0.3">
      <c r="D812" t="s">
        <v>295</v>
      </c>
      <c r="F812" t="s">
        <v>295</v>
      </c>
      <c r="H812" s="16"/>
    </row>
    <row r="813" spans="4:8" x14ac:dyDescent="0.3">
      <c r="D813" t="s">
        <v>295</v>
      </c>
      <c r="F813" t="s">
        <v>295</v>
      </c>
      <c r="H813" s="16"/>
    </row>
    <row r="814" spans="4:8" x14ac:dyDescent="0.3">
      <c r="D814" t="s">
        <v>295</v>
      </c>
      <c r="F814" t="s">
        <v>295</v>
      </c>
      <c r="H814" s="16"/>
    </row>
    <row r="815" spans="4:8" x14ac:dyDescent="0.3">
      <c r="D815" t="s">
        <v>295</v>
      </c>
      <c r="F815" t="s">
        <v>295</v>
      </c>
      <c r="H815" s="16"/>
    </row>
    <row r="816" spans="4:8" x14ac:dyDescent="0.3">
      <c r="D816" t="s">
        <v>295</v>
      </c>
      <c r="F816" t="s">
        <v>295</v>
      </c>
      <c r="H816" s="16"/>
    </row>
    <row r="817" spans="4:8" x14ac:dyDescent="0.3">
      <c r="D817" t="s">
        <v>295</v>
      </c>
      <c r="F817" t="s">
        <v>295</v>
      </c>
      <c r="H817" s="16"/>
    </row>
    <row r="818" spans="4:8" x14ac:dyDescent="0.3">
      <c r="D818" t="s">
        <v>295</v>
      </c>
      <c r="F818" t="s">
        <v>295</v>
      </c>
      <c r="H818" s="16"/>
    </row>
    <row r="819" spans="4:8" x14ac:dyDescent="0.3">
      <c r="D819" t="s">
        <v>295</v>
      </c>
      <c r="F819" t="s">
        <v>295</v>
      </c>
      <c r="H819" s="16"/>
    </row>
    <row r="820" spans="4:8" x14ac:dyDescent="0.3">
      <c r="D820" t="s">
        <v>295</v>
      </c>
      <c r="F820" t="s">
        <v>295</v>
      </c>
      <c r="H820" s="16"/>
    </row>
    <row r="821" spans="4:8" x14ac:dyDescent="0.3">
      <c r="D821" t="s">
        <v>295</v>
      </c>
      <c r="F821" t="s">
        <v>295</v>
      </c>
      <c r="H821" s="16"/>
    </row>
    <row r="822" spans="4:8" x14ac:dyDescent="0.3">
      <c r="D822" t="s">
        <v>295</v>
      </c>
      <c r="F822" t="s">
        <v>295</v>
      </c>
      <c r="H822" s="16"/>
    </row>
    <row r="823" spans="4:8" x14ac:dyDescent="0.3">
      <c r="D823" t="s">
        <v>295</v>
      </c>
      <c r="F823" t="s">
        <v>295</v>
      </c>
      <c r="H823" s="16"/>
    </row>
    <row r="824" spans="4:8" x14ac:dyDescent="0.3">
      <c r="D824" t="s">
        <v>295</v>
      </c>
      <c r="F824" t="s">
        <v>295</v>
      </c>
      <c r="H824" s="16"/>
    </row>
    <row r="825" spans="4:8" x14ac:dyDescent="0.3">
      <c r="D825" t="s">
        <v>295</v>
      </c>
      <c r="F825" t="s">
        <v>295</v>
      </c>
      <c r="H825" s="16"/>
    </row>
    <row r="826" spans="4:8" x14ac:dyDescent="0.3">
      <c r="D826" t="s">
        <v>295</v>
      </c>
      <c r="F826" t="s">
        <v>295</v>
      </c>
      <c r="H826" s="16"/>
    </row>
    <row r="827" spans="4:8" x14ac:dyDescent="0.3">
      <c r="D827" t="s">
        <v>295</v>
      </c>
      <c r="F827" t="s">
        <v>295</v>
      </c>
      <c r="H827" s="16"/>
    </row>
    <row r="828" spans="4:8" x14ac:dyDescent="0.3">
      <c r="D828" t="s">
        <v>295</v>
      </c>
      <c r="F828" t="s">
        <v>295</v>
      </c>
      <c r="H828" s="16"/>
    </row>
    <row r="829" spans="4:8" x14ac:dyDescent="0.3">
      <c r="D829" t="s">
        <v>295</v>
      </c>
      <c r="F829" t="s">
        <v>295</v>
      </c>
      <c r="H829" s="16"/>
    </row>
    <row r="830" spans="4:8" x14ac:dyDescent="0.3">
      <c r="D830" t="s">
        <v>295</v>
      </c>
      <c r="F830" t="s">
        <v>295</v>
      </c>
      <c r="H830" s="16"/>
    </row>
    <row r="831" spans="4:8" x14ac:dyDescent="0.3">
      <c r="D831" t="s">
        <v>295</v>
      </c>
      <c r="F831" t="s">
        <v>295</v>
      </c>
      <c r="H831" s="16"/>
    </row>
    <row r="832" spans="4:8" x14ac:dyDescent="0.3">
      <c r="D832" t="s">
        <v>295</v>
      </c>
      <c r="F832" t="s">
        <v>295</v>
      </c>
      <c r="H832" s="16"/>
    </row>
    <row r="833" spans="4:8" x14ac:dyDescent="0.3">
      <c r="D833" t="s">
        <v>295</v>
      </c>
      <c r="F833" t="s">
        <v>295</v>
      </c>
      <c r="H833" s="16"/>
    </row>
    <row r="834" spans="4:8" x14ac:dyDescent="0.3">
      <c r="D834" t="s">
        <v>295</v>
      </c>
      <c r="F834" t="s">
        <v>295</v>
      </c>
      <c r="H834" s="16"/>
    </row>
    <row r="835" spans="4:8" x14ac:dyDescent="0.3">
      <c r="D835" t="s">
        <v>295</v>
      </c>
      <c r="F835" t="s">
        <v>295</v>
      </c>
      <c r="H835" s="16"/>
    </row>
    <row r="836" spans="4:8" x14ac:dyDescent="0.3">
      <c r="D836" t="s">
        <v>295</v>
      </c>
      <c r="F836" t="s">
        <v>295</v>
      </c>
      <c r="H836" s="16"/>
    </row>
    <row r="837" spans="4:8" x14ac:dyDescent="0.3">
      <c r="D837" t="s">
        <v>295</v>
      </c>
      <c r="F837" t="s">
        <v>295</v>
      </c>
      <c r="H837" s="16"/>
    </row>
    <row r="838" spans="4:8" x14ac:dyDescent="0.3">
      <c r="D838" t="s">
        <v>295</v>
      </c>
      <c r="F838" t="s">
        <v>295</v>
      </c>
      <c r="H838" s="16"/>
    </row>
    <row r="839" spans="4:8" x14ac:dyDescent="0.3">
      <c r="D839" t="s">
        <v>295</v>
      </c>
      <c r="F839" t="s">
        <v>295</v>
      </c>
      <c r="H839" s="16"/>
    </row>
    <row r="840" spans="4:8" x14ac:dyDescent="0.3">
      <c r="D840" t="s">
        <v>295</v>
      </c>
      <c r="F840" t="s">
        <v>295</v>
      </c>
      <c r="H840" s="16"/>
    </row>
    <row r="841" spans="4:8" x14ac:dyDescent="0.3">
      <c r="D841" t="s">
        <v>295</v>
      </c>
      <c r="F841" t="s">
        <v>295</v>
      </c>
      <c r="H841" s="16"/>
    </row>
    <row r="842" spans="4:8" x14ac:dyDescent="0.3">
      <c r="D842" t="s">
        <v>295</v>
      </c>
      <c r="F842" t="s">
        <v>295</v>
      </c>
      <c r="H842" s="16"/>
    </row>
    <row r="843" spans="4:8" x14ac:dyDescent="0.3">
      <c r="D843" t="s">
        <v>295</v>
      </c>
      <c r="F843" t="s">
        <v>295</v>
      </c>
      <c r="H843" s="16"/>
    </row>
    <row r="844" spans="4:8" x14ac:dyDescent="0.3">
      <c r="D844" t="s">
        <v>295</v>
      </c>
      <c r="F844" t="s">
        <v>295</v>
      </c>
      <c r="H844" s="16"/>
    </row>
    <row r="845" spans="4:8" x14ac:dyDescent="0.3">
      <c r="D845" t="s">
        <v>295</v>
      </c>
      <c r="F845" t="s">
        <v>295</v>
      </c>
      <c r="H845" s="16"/>
    </row>
    <row r="846" spans="4:8" x14ac:dyDescent="0.3">
      <c r="D846" t="s">
        <v>295</v>
      </c>
      <c r="F846" t="s">
        <v>295</v>
      </c>
      <c r="H846" s="16"/>
    </row>
    <row r="847" spans="4:8" x14ac:dyDescent="0.3">
      <c r="D847" t="s">
        <v>295</v>
      </c>
      <c r="F847" t="s">
        <v>295</v>
      </c>
      <c r="H847" s="16"/>
    </row>
    <row r="848" spans="4:8" x14ac:dyDescent="0.3">
      <c r="D848" t="s">
        <v>295</v>
      </c>
      <c r="F848" t="s">
        <v>295</v>
      </c>
      <c r="H848" s="16"/>
    </row>
    <row r="849" spans="4:8" x14ac:dyDescent="0.3">
      <c r="D849" t="s">
        <v>295</v>
      </c>
      <c r="F849" t="s">
        <v>295</v>
      </c>
      <c r="H849" s="16"/>
    </row>
    <row r="850" spans="4:8" x14ac:dyDescent="0.3">
      <c r="D850" t="s">
        <v>295</v>
      </c>
      <c r="F850" t="s">
        <v>295</v>
      </c>
      <c r="H850" s="16"/>
    </row>
    <row r="851" spans="4:8" x14ac:dyDescent="0.3">
      <c r="D851" t="s">
        <v>295</v>
      </c>
      <c r="F851" t="s">
        <v>295</v>
      </c>
      <c r="H851" s="16"/>
    </row>
    <row r="852" spans="4:8" x14ac:dyDescent="0.3">
      <c r="D852" t="s">
        <v>295</v>
      </c>
      <c r="F852" t="s">
        <v>295</v>
      </c>
      <c r="H852" s="16"/>
    </row>
    <row r="853" spans="4:8" x14ac:dyDescent="0.3">
      <c r="D853" t="s">
        <v>295</v>
      </c>
      <c r="F853" t="s">
        <v>295</v>
      </c>
      <c r="H853" s="16"/>
    </row>
    <row r="854" spans="4:8" x14ac:dyDescent="0.3">
      <c r="D854" t="s">
        <v>295</v>
      </c>
      <c r="F854" t="s">
        <v>295</v>
      </c>
      <c r="H854" s="16"/>
    </row>
    <row r="855" spans="4:8" x14ac:dyDescent="0.3">
      <c r="D855" t="s">
        <v>295</v>
      </c>
      <c r="F855" t="s">
        <v>295</v>
      </c>
      <c r="H855" s="16"/>
    </row>
    <row r="856" spans="4:8" x14ac:dyDescent="0.3">
      <c r="D856" t="s">
        <v>295</v>
      </c>
      <c r="F856" t="s">
        <v>295</v>
      </c>
      <c r="H856" s="16"/>
    </row>
    <row r="857" spans="4:8" x14ac:dyDescent="0.3">
      <c r="D857" t="s">
        <v>295</v>
      </c>
      <c r="F857" t="s">
        <v>295</v>
      </c>
      <c r="H857" s="16"/>
    </row>
    <row r="858" spans="4:8" x14ac:dyDescent="0.3">
      <c r="D858" t="s">
        <v>295</v>
      </c>
      <c r="F858" t="s">
        <v>295</v>
      </c>
      <c r="H858" s="16"/>
    </row>
    <row r="859" spans="4:8" x14ac:dyDescent="0.3">
      <c r="D859" t="s">
        <v>295</v>
      </c>
      <c r="F859" t="s">
        <v>295</v>
      </c>
      <c r="H859" s="16"/>
    </row>
    <row r="860" spans="4:8" x14ac:dyDescent="0.3">
      <c r="D860" t="s">
        <v>295</v>
      </c>
      <c r="F860" t="s">
        <v>295</v>
      </c>
      <c r="H860" s="16"/>
    </row>
    <row r="861" spans="4:8" x14ac:dyDescent="0.3">
      <c r="D861" t="s">
        <v>295</v>
      </c>
      <c r="F861" t="s">
        <v>295</v>
      </c>
      <c r="H861" s="16"/>
    </row>
    <row r="862" spans="4:8" x14ac:dyDescent="0.3">
      <c r="D862" t="s">
        <v>295</v>
      </c>
      <c r="F862" t="s">
        <v>295</v>
      </c>
      <c r="H862" s="16"/>
    </row>
    <row r="863" spans="4:8" x14ac:dyDescent="0.3">
      <c r="D863" t="s">
        <v>295</v>
      </c>
      <c r="F863" t="s">
        <v>295</v>
      </c>
      <c r="H863" s="16"/>
    </row>
    <row r="864" spans="4:8" x14ac:dyDescent="0.3">
      <c r="D864" t="s">
        <v>295</v>
      </c>
      <c r="F864" t="s">
        <v>295</v>
      </c>
      <c r="H864" s="16"/>
    </row>
    <row r="865" spans="4:8" x14ac:dyDescent="0.3">
      <c r="D865" t="s">
        <v>295</v>
      </c>
      <c r="F865" t="s">
        <v>295</v>
      </c>
      <c r="H865" s="16"/>
    </row>
    <row r="866" spans="4:8" x14ac:dyDescent="0.3">
      <c r="D866" t="s">
        <v>295</v>
      </c>
      <c r="F866" t="s">
        <v>295</v>
      </c>
      <c r="H866" s="16"/>
    </row>
    <row r="867" spans="4:8" x14ac:dyDescent="0.3">
      <c r="D867" t="s">
        <v>295</v>
      </c>
      <c r="F867" t="s">
        <v>295</v>
      </c>
      <c r="H867" s="16"/>
    </row>
    <row r="868" spans="4:8" x14ac:dyDescent="0.3">
      <c r="D868" t="s">
        <v>295</v>
      </c>
      <c r="F868" t="s">
        <v>295</v>
      </c>
      <c r="H868" s="16"/>
    </row>
    <row r="869" spans="4:8" x14ac:dyDescent="0.3">
      <c r="D869" t="s">
        <v>295</v>
      </c>
      <c r="F869" t="s">
        <v>295</v>
      </c>
      <c r="H869" s="16"/>
    </row>
    <row r="870" spans="4:8" x14ac:dyDescent="0.3">
      <c r="D870" t="s">
        <v>295</v>
      </c>
      <c r="F870" t="s">
        <v>295</v>
      </c>
      <c r="H870" s="16"/>
    </row>
    <row r="871" spans="4:8" x14ac:dyDescent="0.3">
      <c r="D871" t="s">
        <v>295</v>
      </c>
      <c r="F871" t="s">
        <v>295</v>
      </c>
      <c r="H871" s="16"/>
    </row>
    <row r="872" spans="4:8" x14ac:dyDescent="0.3">
      <c r="D872" t="s">
        <v>295</v>
      </c>
      <c r="F872" t="s">
        <v>295</v>
      </c>
      <c r="H872" s="16"/>
    </row>
    <row r="873" spans="4:8" x14ac:dyDescent="0.3">
      <c r="D873" t="s">
        <v>295</v>
      </c>
      <c r="F873" t="s">
        <v>295</v>
      </c>
      <c r="H873" s="16"/>
    </row>
    <row r="874" spans="4:8" x14ac:dyDescent="0.3">
      <c r="D874" t="s">
        <v>295</v>
      </c>
      <c r="F874" t="s">
        <v>295</v>
      </c>
      <c r="H874" s="16"/>
    </row>
    <row r="875" spans="4:8" x14ac:dyDescent="0.3">
      <c r="D875" t="s">
        <v>295</v>
      </c>
      <c r="F875" t="s">
        <v>295</v>
      </c>
      <c r="H875" s="16"/>
    </row>
    <row r="876" spans="4:8" x14ac:dyDescent="0.3">
      <c r="D876" t="s">
        <v>295</v>
      </c>
      <c r="F876" t="s">
        <v>295</v>
      </c>
      <c r="H876" s="16"/>
    </row>
    <row r="877" spans="4:8" x14ac:dyDescent="0.3">
      <c r="D877" t="s">
        <v>295</v>
      </c>
      <c r="F877" t="s">
        <v>295</v>
      </c>
      <c r="H877" s="16"/>
    </row>
    <row r="878" spans="4:8" x14ac:dyDescent="0.3">
      <c r="D878" t="s">
        <v>295</v>
      </c>
      <c r="F878" t="s">
        <v>295</v>
      </c>
      <c r="H878" s="16"/>
    </row>
    <row r="879" spans="4:8" x14ac:dyDescent="0.3">
      <c r="D879" t="s">
        <v>295</v>
      </c>
      <c r="F879" t="s">
        <v>295</v>
      </c>
      <c r="H879" s="16"/>
    </row>
    <row r="880" spans="4:8" x14ac:dyDescent="0.3">
      <c r="D880" t="s">
        <v>295</v>
      </c>
      <c r="F880" t="s">
        <v>295</v>
      </c>
      <c r="H880" s="16"/>
    </row>
    <row r="881" spans="4:8" x14ac:dyDescent="0.3">
      <c r="D881" t="s">
        <v>295</v>
      </c>
      <c r="F881" t="s">
        <v>295</v>
      </c>
      <c r="H881" s="16"/>
    </row>
    <row r="882" spans="4:8" x14ac:dyDescent="0.3">
      <c r="D882" t="s">
        <v>295</v>
      </c>
      <c r="F882" t="s">
        <v>295</v>
      </c>
      <c r="H882" s="16"/>
    </row>
    <row r="883" spans="4:8" x14ac:dyDescent="0.3">
      <c r="D883" t="s">
        <v>295</v>
      </c>
      <c r="F883" t="s">
        <v>295</v>
      </c>
      <c r="H883" s="16"/>
    </row>
    <row r="884" spans="4:8" x14ac:dyDescent="0.3">
      <c r="D884" t="s">
        <v>295</v>
      </c>
      <c r="F884" t="s">
        <v>295</v>
      </c>
      <c r="H884" s="16"/>
    </row>
    <row r="885" spans="4:8" x14ac:dyDescent="0.3">
      <c r="D885" t="s">
        <v>295</v>
      </c>
      <c r="F885" t="s">
        <v>295</v>
      </c>
      <c r="H885" s="16"/>
    </row>
    <row r="886" spans="4:8" x14ac:dyDescent="0.3">
      <c r="D886" t="s">
        <v>295</v>
      </c>
      <c r="F886" t="s">
        <v>295</v>
      </c>
      <c r="H886" s="16"/>
    </row>
    <row r="887" spans="4:8" x14ac:dyDescent="0.3">
      <c r="D887" t="s">
        <v>295</v>
      </c>
      <c r="F887" t="s">
        <v>295</v>
      </c>
      <c r="H887" s="16"/>
    </row>
    <row r="888" spans="4:8" x14ac:dyDescent="0.3">
      <c r="D888" t="s">
        <v>295</v>
      </c>
      <c r="F888" t="s">
        <v>295</v>
      </c>
      <c r="H888" s="16"/>
    </row>
    <row r="889" spans="4:8" x14ac:dyDescent="0.3">
      <c r="D889" t="s">
        <v>295</v>
      </c>
      <c r="F889" t="s">
        <v>295</v>
      </c>
      <c r="H889" s="16"/>
    </row>
    <row r="890" spans="4:8" x14ac:dyDescent="0.3">
      <c r="D890" t="s">
        <v>295</v>
      </c>
      <c r="F890" t="s">
        <v>295</v>
      </c>
      <c r="H890" s="16"/>
    </row>
    <row r="891" spans="4:8" x14ac:dyDescent="0.3">
      <c r="D891" t="s">
        <v>295</v>
      </c>
      <c r="F891" t="s">
        <v>295</v>
      </c>
      <c r="H891" s="16"/>
    </row>
    <row r="892" spans="4:8" x14ac:dyDescent="0.3">
      <c r="D892" t="s">
        <v>295</v>
      </c>
      <c r="F892" t="s">
        <v>295</v>
      </c>
      <c r="H892" s="16"/>
    </row>
    <row r="893" spans="4:8" x14ac:dyDescent="0.3">
      <c r="D893" t="s">
        <v>295</v>
      </c>
      <c r="F893" t="s">
        <v>295</v>
      </c>
      <c r="H893" s="16"/>
    </row>
    <row r="894" spans="4:8" x14ac:dyDescent="0.3">
      <c r="D894" t="s">
        <v>295</v>
      </c>
      <c r="F894" t="s">
        <v>295</v>
      </c>
      <c r="H894" s="16"/>
    </row>
    <row r="895" spans="4:8" x14ac:dyDescent="0.3">
      <c r="D895" t="s">
        <v>295</v>
      </c>
      <c r="F895" t="s">
        <v>295</v>
      </c>
      <c r="H895" s="16"/>
    </row>
    <row r="896" spans="4:8" x14ac:dyDescent="0.3">
      <c r="D896" t="s">
        <v>295</v>
      </c>
      <c r="F896" t="s">
        <v>295</v>
      </c>
      <c r="H896" s="16"/>
    </row>
    <row r="897" spans="4:8" x14ac:dyDescent="0.3">
      <c r="D897" t="s">
        <v>295</v>
      </c>
      <c r="F897" t="s">
        <v>295</v>
      </c>
      <c r="H897" s="16"/>
    </row>
    <row r="898" spans="4:8" x14ac:dyDescent="0.3">
      <c r="D898" t="s">
        <v>295</v>
      </c>
      <c r="F898" t="s">
        <v>295</v>
      </c>
      <c r="H898" s="16"/>
    </row>
    <row r="899" spans="4:8" x14ac:dyDescent="0.3">
      <c r="D899" t="s">
        <v>295</v>
      </c>
      <c r="F899" t="s">
        <v>295</v>
      </c>
      <c r="H899" s="16"/>
    </row>
    <row r="900" spans="4:8" x14ac:dyDescent="0.3">
      <c r="D900" t="s">
        <v>295</v>
      </c>
      <c r="F900" t="s">
        <v>295</v>
      </c>
      <c r="H900" s="16"/>
    </row>
    <row r="901" spans="4:8" x14ac:dyDescent="0.3">
      <c r="D901" t="s">
        <v>295</v>
      </c>
      <c r="F901" t="s">
        <v>295</v>
      </c>
      <c r="H901" s="16"/>
    </row>
    <row r="902" spans="4:8" x14ac:dyDescent="0.3">
      <c r="D902" t="s">
        <v>295</v>
      </c>
      <c r="F902" t="s">
        <v>295</v>
      </c>
      <c r="H902" s="16"/>
    </row>
    <row r="903" spans="4:8" x14ac:dyDescent="0.3">
      <c r="D903" t="s">
        <v>295</v>
      </c>
      <c r="F903" t="s">
        <v>295</v>
      </c>
      <c r="H903" s="16"/>
    </row>
    <row r="904" spans="4:8" x14ac:dyDescent="0.3">
      <c r="D904" t="s">
        <v>295</v>
      </c>
      <c r="F904" t="s">
        <v>295</v>
      </c>
      <c r="H904" s="16"/>
    </row>
    <row r="905" spans="4:8" x14ac:dyDescent="0.3">
      <c r="D905" t="s">
        <v>295</v>
      </c>
      <c r="F905" t="s">
        <v>295</v>
      </c>
      <c r="H905" s="16"/>
    </row>
    <row r="906" spans="4:8" x14ac:dyDescent="0.3">
      <c r="D906" t="s">
        <v>295</v>
      </c>
      <c r="F906" t="s">
        <v>295</v>
      </c>
      <c r="H906" s="16"/>
    </row>
    <row r="907" spans="4:8" x14ac:dyDescent="0.3">
      <c r="D907" t="s">
        <v>295</v>
      </c>
      <c r="F907" t="s">
        <v>295</v>
      </c>
      <c r="H907" s="16"/>
    </row>
    <row r="908" spans="4:8" x14ac:dyDescent="0.3">
      <c r="D908" t="s">
        <v>295</v>
      </c>
      <c r="F908" t="s">
        <v>295</v>
      </c>
      <c r="H908" s="16"/>
    </row>
    <row r="909" spans="4:8" x14ac:dyDescent="0.3">
      <c r="D909" t="s">
        <v>295</v>
      </c>
      <c r="F909" t="s">
        <v>295</v>
      </c>
      <c r="H909" s="16"/>
    </row>
    <row r="910" spans="4:8" x14ac:dyDescent="0.3">
      <c r="D910" t="s">
        <v>295</v>
      </c>
      <c r="F910" t="s">
        <v>295</v>
      </c>
      <c r="H910" s="16"/>
    </row>
    <row r="911" spans="4:8" x14ac:dyDescent="0.3">
      <c r="D911" t="s">
        <v>295</v>
      </c>
      <c r="F911" t="s">
        <v>295</v>
      </c>
      <c r="H911" s="16"/>
    </row>
    <row r="912" spans="4:8" x14ac:dyDescent="0.3">
      <c r="D912" t="s">
        <v>295</v>
      </c>
      <c r="F912" t="s">
        <v>295</v>
      </c>
      <c r="H912" s="16"/>
    </row>
    <row r="913" spans="4:8" x14ac:dyDescent="0.3">
      <c r="D913" t="s">
        <v>295</v>
      </c>
      <c r="F913" t="s">
        <v>295</v>
      </c>
      <c r="H913" s="16"/>
    </row>
    <row r="914" spans="4:8" x14ac:dyDescent="0.3">
      <c r="D914" t="s">
        <v>295</v>
      </c>
      <c r="F914" t="s">
        <v>295</v>
      </c>
      <c r="H914" s="16"/>
    </row>
    <row r="915" spans="4:8" x14ac:dyDescent="0.3">
      <c r="D915" t="s">
        <v>295</v>
      </c>
      <c r="F915" t="s">
        <v>295</v>
      </c>
      <c r="H915" s="16"/>
    </row>
    <row r="916" spans="4:8" x14ac:dyDescent="0.3">
      <c r="D916" t="s">
        <v>295</v>
      </c>
      <c r="F916" t="s">
        <v>295</v>
      </c>
      <c r="H916" s="16"/>
    </row>
    <row r="917" spans="4:8" x14ac:dyDescent="0.3">
      <c r="D917" t="s">
        <v>295</v>
      </c>
      <c r="F917" t="s">
        <v>295</v>
      </c>
      <c r="H917" s="16"/>
    </row>
    <row r="918" spans="4:8" x14ac:dyDescent="0.3">
      <c r="D918" t="s">
        <v>295</v>
      </c>
      <c r="F918" t="s">
        <v>295</v>
      </c>
      <c r="H918" s="16"/>
    </row>
    <row r="919" spans="4:8" x14ac:dyDescent="0.3">
      <c r="D919" t="s">
        <v>295</v>
      </c>
      <c r="F919" t="s">
        <v>295</v>
      </c>
      <c r="H919" s="16"/>
    </row>
    <row r="920" spans="4:8" x14ac:dyDescent="0.3">
      <c r="D920" t="s">
        <v>295</v>
      </c>
      <c r="F920" t="s">
        <v>295</v>
      </c>
      <c r="H920" s="16"/>
    </row>
    <row r="921" spans="4:8" x14ac:dyDescent="0.3">
      <c r="D921" t="s">
        <v>295</v>
      </c>
      <c r="F921" t="s">
        <v>295</v>
      </c>
      <c r="H921" s="16"/>
    </row>
    <row r="922" spans="4:8" x14ac:dyDescent="0.3">
      <c r="D922" t="s">
        <v>295</v>
      </c>
      <c r="F922" t="s">
        <v>295</v>
      </c>
      <c r="H922" s="16"/>
    </row>
    <row r="923" spans="4:8" x14ac:dyDescent="0.3">
      <c r="D923" t="s">
        <v>295</v>
      </c>
      <c r="F923" t="s">
        <v>295</v>
      </c>
      <c r="H923" s="16"/>
    </row>
    <row r="924" spans="4:8" x14ac:dyDescent="0.3">
      <c r="D924" t="s">
        <v>295</v>
      </c>
      <c r="F924" t="s">
        <v>295</v>
      </c>
      <c r="H924" s="16"/>
    </row>
    <row r="925" spans="4:8" x14ac:dyDescent="0.3">
      <c r="D925" t="s">
        <v>295</v>
      </c>
      <c r="F925" t="s">
        <v>295</v>
      </c>
      <c r="H925" s="16"/>
    </row>
    <row r="926" spans="4:8" x14ac:dyDescent="0.3">
      <c r="D926" t="s">
        <v>295</v>
      </c>
      <c r="F926" t="s">
        <v>295</v>
      </c>
      <c r="H926" s="16"/>
    </row>
    <row r="927" spans="4:8" x14ac:dyDescent="0.3">
      <c r="D927" t="s">
        <v>295</v>
      </c>
      <c r="F927" t="s">
        <v>295</v>
      </c>
      <c r="H927" s="16"/>
    </row>
    <row r="928" spans="4:8" x14ac:dyDescent="0.3">
      <c r="D928" t="s">
        <v>295</v>
      </c>
      <c r="F928" t="s">
        <v>295</v>
      </c>
      <c r="H928" s="16"/>
    </row>
    <row r="929" spans="4:8" x14ac:dyDescent="0.3">
      <c r="D929" t="s">
        <v>295</v>
      </c>
      <c r="F929" t="s">
        <v>295</v>
      </c>
      <c r="H929" s="16"/>
    </row>
    <row r="930" spans="4:8" x14ac:dyDescent="0.3">
      <c r="D930" t="s">
        <v>295</v>
      </c>
      <c r="F930" t="s">
        <v>295</v>
      </c>
      <c r="H930" s="16"/>
    </row>
    <row r="931" spans="4:8" x14ac:dyDescent="0.3">
      <c r="D931" t="s">
        <v>295</v>
      </c>
      <c r="F931" t="s">
        <v>295</v>
      </c>
      <c r="H931" s="16"/>
    </row>
    <row r="932" spans="4:8" x14ac:dyDescent="0.3">
      <c r="D932" t="s">
        <v>295</v>
      </c>
      <c r="F932" t="s">
        <v>295</v>
      </c>
      <c r="H932" s="16"/>
    </row>
    <row r="933" spans="4:8" x14ac:dyDescent="0.3">
      <c r="D933" t="s">
        <v>295</v>
      </c>
      <c r="F933" t="s">
        <v>295</v>
      </c>
      <c r="H933" s="16"/>
    </row>
    <row r="934" spans="4:8" x14ac:dyDescent="0.3">
      <c r="D934" t="s">
        <v>295</v>
      </c>
      <c r="F934" t="s">
        <v>295</v>
      </c>
      <c r="H934" s="16"/>
    </row>
    <row r="935" spans="4:8" x14ac:dyDescent="0.3">
      <c r="D935" t="s">
        <v>295</v>
      </c>
      <c r="F935" t="s">
        <v>295</v>
      </c>
      <c r="H935" s="16"/>
    </row>
    <row r="936" spans="4:8" x14ac:dyDescent="0.3">
      <c r="D936" t="s">
        <v>295</v>
      </c>
      <c r="F936" t="s">
        <v>295</v>
      </c>
      <c r="H936" s="16"/>
    </row>
    <row r="937" spans="4:8" x14ac:dyDescent="0.3">
      <c r="D937" t="s">
        <v>295</v>
      </c>
      <c r="F937" t="s">
        <v>295</v>
      </c>
      <c r="H937" s="16"/>
    </row>
    <row r="938" spans="4:8" x14ac:dyDescent="0.3">
      <c r="D938" t="s">
        <v>295</v>
      </c>
      <c r="F938" t="s">
        <v>295</v>
      </c>
      <c r="H938" s="16"/>
    </row>
    <row r="939" spans="4:8" x14ac:dyDescent="0.3">
      <c r="D939" t="s">
        <v>295</v>
      </c>
      <c r="F939" t="s">
        <v>295</v>
      </c>
      <c r="H939" s="16"/>
    </row>
    <row r="940" spans="4:8" x14ac:dyDescent="0.3">
      <c r="D940" t="s">
        <v>295</v>
      </c>
      <c r="F940" t="s">
        <v>295</v>
      </c>
      <c r="H940" s="16"/>
    </row>
    <row r="941" spans="4:8" x14ac:dyDescent="0.3">
      <c r="D941" t="s">
        <v>295</v>
      </c>
      <c r="F941" t="s">
        <v>295</v>
      </c>
      <c r="H941" s="16"/>
    </row>
    <row r="942" spans="4:8" x14ac:dyDescent="0.3">
      <c r="D942" t="s">
        <v>295</v>
      </c>
      <c r="F942" t="s">
        <v>295</v>
      </c>
      <c r="H942" s="16"/>
    </row>
    <row r="943" spans="4:8" x14ac:dyDescent="0.3">
      <c r="D943" t="s">
        <v>295</v>
      </c>
      <c r="F943" t="s">
        <v>295</v>
      </c>
      <c r="H943" s="16"/>
    </row>
    <row r="944" spans="4:8" x14ac:dyDescent="0.3">
      <c r="D944" t="s">
        <v>295</v>
      </c>
      <c r="F944" t="s">
        <v>295</v>
      </c>
      <c r="H944" s="16"/>
    </row>
    <row r="945" spans="4:8" x14ac:dyDescent="0.3">
      <c r="D945" t="s">
        <v>295</v>
      </c>
      <c r="F945" t="s">
        <v>295</v>
      </c>
      <c r="H945" s="16"/>
    </row>
    <row r="946" spans="4:8" x14ac:dyDescent="0.3">
      <c r="D946" t="s">
        <v>295</v>
      </c>
      <c r="F946" t="s">
        <v>295</v>
      </c>
      <c r="H946" s="16"/>
    </row>
    <row r="947" spans="4:8" x14ac:dyDescent="0.3">
      <c r="D947" t="s">
        <v>295</v>
      </c>
      <c r="F947" t="s">
        <v>295</v>
      </c>
      <c r="H947" s="16"/>
    </row>
    <row r="948" spans="4:8" x14ac:dyDescent="0.3">
      <c r="D948" t="s">
        <v>295</v>
      </c>
      <c r="F948" t="s">
        <v>295</v>
      </c>
      <c r="H948" s="16"/>
    </row>
    <row r="949" spans="4:8" x14ac:dyDescent="0.3">
      <c r="D949" t="s">
        <v>295</v>
      </c>
      <c r="F949" t="s">
        <v>295</v>
      </c>
      <c r="H949" s="16"/>
    </row>
    <row r="950" spans="4:8" x14ac:dyDescent="0.3">
      <c r="D950" t="s">
        <v>295</v>
      </c>
      <c r="F950" t="s">
        <v>295</v>
      </c>
      <c r="H950" s="16"/>
    </row>
    <row r="951" spans="4:8" x14ac:dyDescent="0.3">
      <c r="D951" t="s">
        <v>295</v>
      </c>
      <c r="F951" t="s">
        <v>295</v>
      </c>
      <c r="H951" s="16"/>
    </row>
    <row r="952" spans="4:8" x14ac:dyDescent="0.3">
      <c r="D952" t="s">
        <v>295</v>
      </c>
      <c r="F952" t="s">
        <v>295</v>
      </c>
      <c r="H952" s="16"/>
    </row>
    <row r="953" spans="4:8" x14ac:dyDescent="0.3">
      <c r="D953" t="s">
        <v>295</v>
      </c>
      <c r="F953" t="s">
        <v>295</v>
      </c>
      <c r="H953" s="16"/>
    </row>
    <row r="954" spans="4:8" x14ac:dyDescent="0.3">
      <c r="D954" t="s">
        <v>295</v>
      </c>
      <c r="F954" t="s">
        <v>295</v>
      </c>
      <c r="H954" s="16"/>
    </row>
    <row r="955" spans="4:8" x14ac:dyDescent="0.3">
      <c r="D955" t="s">
        <v>295</v>
      </c>
      <c r="F955" t="s">
        <v>295</v>
      </c>
      <c r="H955" s="16"/>
    </row>
    <row r="956" spans="4:8" x14ac:dyDescent="0.3">
      <c r="D956" t="s">
        <v>295</v>
      </c>
      <c r="F956" t="s">
        <v>295</v>
      </c>
      <c r="H956" s="16"/>
    </row>
    <row r="957" spans="4:8" x14ac:dyDescent="0.3">
      <c r="D957" t="s">
        <v>295</v>
      </c>
      <c r="F957" t="s">
        <v>295</v>
      </c>
      <c r="H957" s="16"/>
    </row>
    <row r="958" spans="4:8" x14ac:dyDescent="0.3">
      <c r="D958" t="s">
        <v>295</v>
      </c>
      <c r="F958" t="s">
        <v>295</v>
      </c>
      <c r="H958" s="16"/>
    </row>
    <row r="959" spans="4:8" x14ac:dyDescent="0.3">
      <c r="D959" t="s">
        <v>295</v>
      </c>
      <c r="F959" t="s">
        <v>295</v>
      </c>
      <c r="H959" s="16"/>
    </row>
    <row r="960" spans="4:8" x14ac:dyDescent="0.3">
      <c r="D960" t="s">
        <v>295</v>
      </c>
      <c r="F960" t="s">
        <v>295</v>
      </c>
      <c r="H960" s="16"/>
    </row>
    <row r="961" spans="4:8" x14ac:dyDescent="0.3">
      <c r="D961" t="s">
        <v>295</v>
      </c>
      <c r="F961" t="s">
        <v>295</v>
      </c>
      <c r="H961" s="16"/>
    </row>
    <row r="962" spans="4:8" x14ac:dyDescent="0.3">
      <c r="D962" t="s">
        <v>295</v>
      </c>
      <c r="F962" t="s">
        <v>295</v>
      </c>
      <c r="H962" s="16"/>
    </row>
    <row r="963" spans="4:8" x14ac:dyDescent="0.3">
      <c r="D963" t="s">
        <v>295</v>
      </c>
      <c r="F963" t="s">
        <v>295</v>
      </c>
      <c r="H963" s="16"/>
    </row>
    <row r="964" spans="4:8" x14ac:dyDescent="0.3">
      <c r="D964" t="s">
        <v>295</v>
      </c>
      <c r="F964" t="s">
        <v>295</v>
      </c>
      <c r="H964" s="16"/>
    </row>
    <row r="965" spans="4:8" x14ac:dyDescent="0.3">
      <c r="D965" t="s">
        <v>295</v>
      </c>
      <c r="F965" t="s">
        <v>295</v>
      </c>
      <c r="H965" s="16"/>
    </row>
    <row r="966" spans="4:8" x14ac:dyDescent="0.3">
      <c r="D966" t="s">
        <v>295</v>
      </c>
      <c r="F966" t="s">
        <v>295</v>
      </c>
      <c r="H966" s="16"/>
    </row>
    <row r="967" spans="4:8" x14ac:dyDescent="0.3">
      <c r="D967" t="s">
        <v>295</v>
      </c>
      <c r="F967" t="s">
        <v>295</v>
      </c>
      <c r="H967" s="16"/>
    </row>
    <row r="968" spans="4:8" x14ac:dyDescent="0.3">
      <c r="D968" t="s">
        <v>295</v>
      </c>
      <c r="F968" t="s">
        <v>295</v>
      </c>
      <c r="H968" s="16"/>
    </row>
    <row r="969" spans="4:8" x14ac:dyDescent="0.3">
      <c r="D969" t="s">
        <v>295</v>
      </c>
      <c r="F969" t="s">
        <v>295</v>
      </c>
      <c r="H969" s="16"/>
    </row>
    <row r="970" spans="4:8" x14ac:dyDescent="0.3">
      <c r="D970" t="s">
        <v>295</v>
      </c>
      <c r="F970" t="s">
        <v>295</v>
      </c>
      <c r="H970" s="16"/>
    </row>
    <row r="971" spans="4:8" x14ac:dyDescent="0.3">
      <c r="D971" t="s">
        <v>295</v>
      </c>
      <c r="F971" t="s">
        <v>295</v>
      </c>
      <c r="H971" s="16"/>
    </row>
    <row r="972" spans="4:8" x14ac:dyDescent="0.3">
      <c r="D972" t="s">
        <v>295</v>
      </c>
      <c r="F972" t="s">
        <v>295</v>
      </c>
      <c r="H972" s="16"/>
    </row>
    <row r="973" spans="4:8" x14ac:dyDescent="0.3">
      <c r="D973" t="s">
        <v>295</v>
      </c>
      <c r="F973" t="s">
        <v>295</v>
      </c>
      <c r="H973" s="16"/>
    </row>
    <row r="974" spans="4:8" x14ac:dyDescent="0.3">
      <c r="D974" t="s">
        <v>295</v>
      </c>
      <c r="F974" t="s">
        <v>295</v>
      </c>
      <c r="H974" s="16"/>
    </row>
    <row r="975" spans="4:8" x14ac:dyDescent="0.3">
      <c r="D975" t="s">
        <v>295</v>
      </c>
      <c r="F975" t="s">
        <v>295</v>
      </c>
      <c r="H975" s="16"/>
    </row>
    <row r="976" spans="4:8" x14ac:dyDescent="0.3">
      <c r="D976" t="s">
        <v>295</v>
      </c>
      <c r="F976" t="s">
        <v>295</v>
      </c>
      <c r="H976" s="16"/>
    </row>
    <row r="977" spans="4:8" x14ac:dyDescent="0.3">
      <c r="D977" t="s">
        <v>295</v>
      </c>
      <c r="F977" t="s">
        <v>295</v>
      </c>
      <c r="H977" s="16"/>
    </row>
    <row r="978" spans="4:8" x14ac:dyDescent="0.3">
      <c r="D978" t="s">
        <v>295</v>
      </c>
      <c r="F978" t="s">
        <v>295</v>
      </c>
      <c r="H978" s="16"/>
    </row>
    <row r="979" spans="4:8" x14ac:dyDescent="0.3">
      <c r="D979" t="s">
        <v>295</v>
      </c>
      <c r="F979" t="s">
        <v>295</v>
      </c>
      <c r="H979" s="16"/>
    </row>
    <row r="980" spans="4:8" x14ac:dyDescent="0.3">
      <c r="D980" t="s">
        <v>295</v>
      </c>
      <c r="F980" t="s">
        <v>295</v>
      </c>
      <c r="H980" s="16"/>
    </row>
    <row r="981" spans="4:8" x14ac:dyDescent="0.3">
      <c r="D981" t="s">
        <v>295</v>
      </c>
      <c r="F981" t="s">
        <v>295</v>
      </c>
      <c r="H981" s="16"/>
    </row>
    <row r="982" spans="4:8" x14ac:dyDescent="0.3">
      <c r="D982" t="s">
        <v>295</v>
      </c>
      <c r="F982" t="s">
        <v>295</v>
      </c>
      <c r="H982" s="16"/>
    </row>
    <row r="983" spans="4:8" x14ac:dyDescent="0.3">
      <c r="D983" t="s">
        <v>295</v>
      </c>
      <c r="F983" t="s">
        <v>295</v>
      </c>
      <c r="H983" s="16"/>
    </row>
    <row r="984" spans="4:8" x14ac:dyDescent="0.3">
      <c r="D984" t="s">
        <v>295</v>
      </c>
      <c r="F984" t="s">
        <v>295</v>
      </c>
      <c r="H984" s="16"/>
    </row>
    <row r="985" spans="4:8" x14ac:dyDescent="0.3">
      <c r="D985" t="s">
        <v>295</v>
      </c>
      <c r="F985" t="s">
        <v>295</v>
      </c>
      <c r="H985" s="16"/>
    </row>
    <row r="986" spans="4:8" x14ac:dyDescent="0.3">
      <c r="D986" t="s">
        <v>295</v>
      </c>
      <c r="F986" t="s">
        <v>295</v>
      </c>
      <c r="H986" s="16"/>
    </row>
    <row r="987" spans="4:8" x14ac:dyDescent="0.3">
      <c r="D987" t="s">
        <v>295</v>
      </c>
      <c r="F987" t="s">
        <v>295</v>
      </c>
      <c r="H987" s="16"/>
    </row>
    <row r="988" spans="4:8" x14ac:dyDescent="0.3">
      <c r="D988" t="s">
        <v>295</v>
      </c>
      <c r="F988" t="s">
        <v>295</v>
      </c>
      <c r="H988" s="16"/>
    </row>
    <row r="989" spans="4:8" x14ac:dyDescent="0.3">
      <c r="D989" t="s">
        <v>295</v>
      </c>
      <c r="F989" t="s">
        <v>295</v>
      </c>
      <c r="H989" s="16"/>
    </row>
    <row r="990" spans="4:8" x14ac:dyDescent="0.3">
      <c r="D990" t="s">
        <v>295</v>
      </c>
      <c r="F990" t="s">
        <v>295</v>
      </c>
      <c r="H990" s="16"/>
    </row>
    <row r="991" spans="4:8" x14ac:dyDescent="0.3">
      <c r="D991" t="s">
        <v>295</v>
      </c>
      <c r="F991" t="s">
        <v>295</v>
      </c>
      <c r="H991" s="16"/>
    </row>
    <row r="992" spans="4:8" x14ac:dyDescent="0.3">
      <c r="D992" t="s">
        <v>295</v>
      </c>
      <c r="F992" t="s">
        <v>295</v>
      </c>
      <c r="H992" s="16"/>
    </row>
    <row r="993" spans="4:8" x14ac:dyDescent="0.3">
      <c r="D993" t="s">
        <v>295</v>
      </c>
      <c r="F993" t="s">
        <v>295</v>
      </c>
      <c r="H993" s="16"/>
    </row>
    <row r="994" spans="4:8" x14ac:dyDescent="0.3">
      <c r="D994" t="s">
        <v>295</v>
      </c>
      <c r="F994" t="s">
        <v>295</v>
      </c>
      <c r="H994" s="16"/>
    </row>
    <row r="995" spans="4:8" x14ac:dyDescent="0.3">
      <c r="D995" t="s">
        <v>295</v>
      </c>
      <c r="F995" t="s">
        <v>295</v>
      </c>
      <c r="H995" s="16"/>
    </row>
    <row r="996" spans="4:8" x14ac:dyDescent="0.3">
      <c r="D996" t="s">
        <v>295</v>
      </c>
      <c r="F996" t="s">
        <v>295</v>
      </c>
      <c r="H996" s="16"/>
    </row>
    <row r="997" spans="4:8" x14ac:dyDescent="0.3">
      <c r="D997" t="s">
        <v>295</v>
      </c>
      <c r="F997" t="s">
        <v>295</v>
      </c>
      <c r="H997" s="16"/>
    </row>
    <row r="998" spans="4:8" x14ac:dyDescent="0.3">
      <c r="D998" t="s">
        <v>295</v>
      </c>
      <c r="F998" t="s">
        <v>295</v>
      </c>
      <c r="H998" s="16"/>
    </row>
    <row r="999" spans="4:8" x14ac:dyDescent="0.3">
      <c r="D999" t="s">
        <v>295</v>
      </c>
      <c r="F999" t="s">
        <v>295</v>
      </c>
      <c r="H999" s="16"/>
    </row>
    <row r="1000" spans="4:8" x14ac:dyDescent="0.3">
      <c r="D1000" t="s">
        <v>295</v>
      </c>
      <c r="F1000" t="s">
        <v>295</v>
      </c>
      <c r="H1000" s="1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8A640-EBB3-4B66-80B2-080F9A3D7A4F}">
  <sheetPr codeName="Sheet8"/>
  <dimension ref="A1:M46"/>
  <sheetViews>
    <sheetView topLeftCell="B1" workbookViewId="0">
      <selection activeCell="E17" sqref="E17"/>
    </sheetView>
  </sheetViews>
  <sheetFormatPr defaultRowHeight="14.4" x14ac:dyDescent="0.3"/>
  <cols>
    <col min="1" max="1" width="16.6640625" bestFit="1" customWidth="1"/>
    <col min="2" max="2" width="15.5546875" bestFit="1" customWidth="1"/>
    <col min="3" max="3" width="9.21875" bestFit="1" customWidth="1"/>
    <col min="4" max="4" width="10.109375" bestFit="1" customWidth="1"/>
    <col min="5" max="5" width="16" bestFit="1" customWidth="1"/>
    <col min="6" max="6" width="8.33203125" bestFit="1" customWidth="1"/>
    <col min="7" max="7" width="6" bestFit="1" customWidth="1"/>
    <col min="8" max="8" width="14.5546875" bestFit="1" customWidth="1"/>
    <col min="9" max="9" width="6" bestFit="1" customWidth="1"/>
    <col min="10" max="10" width="9" bestFit="1" customWidth="1"/>
    <col min="11" max="11" width="7.5546875" bestFit="1" customWidth="1"/>
    <col min="12" max="12" width="10.21875" bestFit="1" customWidth="1"/>
    <col min="13" max="14" width="10.5546875" bestFit="1" customWidth="1"/>
    <col min="15" max="42" width="4" bestFit="1" customWidth="1"/>
    <col min="43" max="43" width="7" bestFit="1" customWidth="1"/>
    <col min="44" max="83" width="4" bestFit="1" customWidth="1"/>
    <col min="84" max="84" width="7" bestFit="1" customWidth="1"/>
    <col min="85" max="124" width="4" bestFit="1" customWidth="1"/>
    <col min="125" max="125" width="7" bestFit="1" customWidth="1"/>
    <col min="126" max="165" width="4" bestFit="1" customWidth="1"/>
    <col min="166" max="166" width="7" bestFit="1" customWidth="1"/>
    <col min="167" max="206" width="4" bestFit="1" customWidth="1"/>
    <col min="207" max="207" width="7" bestFit="1" customWidth="1"/>
    <col min="208" max="247" width="4" bestFit="1" customWidth="1"/>
    <col min="248" max="248" width="7" bestFit="1" customWidth="1"/>
    <col min="249" max="288" width="4" bestFit="1" customWidth="1"/>
    <col min="289" max="289" width="7" bestFit="1" customWidth="1"/>
    <col min="290" max="329" width="4" bestFit="1" customWidth="1"/>
    <col min="330" max="330" width="7" bestFit="1" customWidth="1"/>
    <col min="331" max="370" width="4" bestFit="1" customWidth="1"/>
    <col min="371" max="371" width="7" bestFit="1" customWidth="1"/>
    <col min="372" max="411" width="4" bestFit="1" customWidth="1"/>
    <col min="412" max="412" width="7" bestFit="1" customWidth="1"/>
    <col min="413" max="452" width="4" bestFit="1" customWidth="1"/>
    <col min="453" max="453" width="8.6640625" bestFit="1" customWidth="1"/>
    <col min="454" max="493" width="4" bestFit="1" customWidth="1"/>
    <col min="494" max="494" width="10.5546875" bestFit="1" customWidth="1"/>
  </cols>
  <sheetData>
    <row r="1" spans="1:13" x14ac:dyDescent="0.3">
      <c r="B1" s="10" t="s">
        <v>300</v>
      </c>
    </row>
    <row r="3" spans="1:13" x14ac:dyDescent="0.3">
      <c r="A3" s="19" t="s">
        <v>299</v>
      </c>
      <c r="B3" s="19" t="s">
        <v>298</v>
      </c>
    </row>
    <row r="4" spans="1:13" x14ac:dyDescent="0.3"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 t="s">
        <v>297</v>
      </c>
    </row>
    <row r="5" spans="1:13" x14ac:dyDescent="0.3">
      <c r="A5" s="19" t="s">
        <v>296</v>
      </c>
      <c r="B5" t="s">
        <v>167</v>
      </c>
      <c r="C5" t="s">
        <v>168</v>
      </c>
      <c r="D5" t="s">
        <v>169</v>
      </c>
      <c r="E5" t="s">
        <v>170</v>
      </c>
      <c r="F5" t="s">
        <v>171</v>
      </c>
      <c r="G5" t="s">
        <v>172</v>
      </c>
      <c r="H5" t="s">
        <v>173</v>
      </c>
      <c r="I5" t="s">
        <v>174</v>
      </c>
      <c r="J5" t="s">
        <v>175</v>
      </c>
      <c r="K5" t="s">
        <v>176</v>
      </c>
      <c r="L5" t="s">
        <v>177</v>
      </c>
    </row>
    <row r="6" spans="1:13" x14ac:dyDescent="0.3">
      <c r="A6" s="20" t="s">
        <v>244</v>
      </c>
      <c r="F6">
        <v>8200</v>
      </c>
      <c r="M6">
        <v>8200</v>
      </c>
    </row>
    <row r="7" spans="1:13" x14ac:dyDescent="0.3">
      <c r="A7" s="20" t="s">
        <v>190</v>
      </c>
      <c r="G7">
        <v>9000</v>
      </c>
      <c r="M7">
        <v>9000</v>
      </c>
    </row>
    <row r="8" spans="1:13" x14ac:dyDescent="0.3">
      <c r="A8" s="20" t="s">
        <v>226</v>
      </c>
      <c r="D8">
        <v>3100</v>
      </c>
      <c r="M8">
        <v>3100</v>
      </c>
    </row>
    <row r="9" spans="1:13" x14ac:dyDescent="0.3">
      <c r="A9" s="20" t="s">
        <v>271</v>
      </c>
      <c r="F9">
        <v>3900</v>
      </c>
      <c r="M9">
        <v>3900</v>
      </c>
    </row>
    <row r="10" spans="1:13" x14ac:dyDescent="0.3">
      <c r="A10" s="20" t="s">
        <v>193</v>
      </c>
      <c r="G10">
        <v>6000</v>
      </c>
      <c r="M10">
        <v>6000</v>
      </c>
    </row>
    <row r="11" spans="1:13" x14ac:dyDescent="0.3">
      <c r="A11" s="20" t="s">
        <v>266</v>
      </c>
      <c r="I11">
        <v>6200</v>
      </c>
      <c r="M11">
        <v>6200</v>
      </c>
    </row>
    <row r="12" spans="1:13" x14ac:dyDescent="0.3">
      <c r="A12" s="20" t="s">
        <v>208</v>
      </c>
      <c r="K12">
        <v>9000</v>
      </c>
      <c r="M12">
        <v>9000</v>
      </c>
    </row>
    <row r="13" spans="1:13" x14ac:dyDescent="0.3">
      <c r="A13" s="20" t="s">
        <v>196</v>
      </c>
      <c r="G13">
        <v>4800</v>
      </c>
      <c r="M13">
        <v>4800</v>
      </c>
    </row>
    <row r="14" spans="1:13" x14ac:dyDescent="0.3">
      <c r="A14" s="20" t="s">
        <v>223</v>
      </c>
      <c r="D14">
        <v>11000</v>
      </c>
      <c r="M14">
        <v>11000</v>
      </c>
    </row>
    <row r="15" spans="1:13" x14ac:dyDescent="0.3">
      <c r="A15" s="20" t="s">
        <v>202</v>
      </c>
      <c r="G15">
        <v>4200</v>
      </c>
      <c r="M15">
        <v>4200</v>
      </c>
    </row>
    <row r="16" spans="1:13" x14ac:dyDescent="0.3">
      <c r="A16" s="20" t="s">
        <v>235</v>
      </c>
      <c r="D16">
        <v>2600</v>
      </c>
      <c r="M16">
        <v>2600</v>
      </c>
    </row>
    <row r="17" spans="1:13" x14ac:dyDescent="0.3">
      <c r="A17" s="20" t="s">
        <v>286</v>
      </c>
      <c r="H17">
        <v>10000</v>
      </c>
      <c r="M17">
        <v>10000</v>
      </c>
    </row>
    <row r="18" spans="1:13" x14ac:dyDescent="0.3">
      <c r="A18" s="20" t="s">
        <v>253</v>
      </c>
      <c r="F18">
        <v>2700</v>
      </c>
      <c r="M18">
        <v>2700</v>
      </c>
    </row>
    <row r="19" spans="1:13" x14ac:dyDescent="0.3">
      <c r="A19" s="20" t="s">
        <v>214</v>
      </c>
      <c r="K19">
        <v>7700</v>
      </c>
      <c r="M19">
        <v>7700</v>
      </c>
    </row>
    <row r="20" spans="1:13" x14ac:dyDescent="0.3">
      <c r="A20" s="20" t="s">
        <v>262</v>
      </c>
      <c r="I20">
        <v>8400</v>
      </c>
      <c r="M20">
        <v>8400</v>
      </c>
    </row>
    <row r="21" spans="1:13" x14ac:dyDescent="0.3">
      <c r="A21" s="20" t="s">
        <v>274</v>
      </c>
      <c r="B21">
        <v>4400</v>
      </c>
      <c r="M21">
        <v>4400</v>
      </c>
    </row>
    <row r="22" spans="1:13" x14ac:dyDescent="0.3">
      <c r="A22" s="20" t="s">
        <v>211</v>
      </c>
      <c r="K22">
        <v>8200</v>
      </c>
      <c r="M22">
        <v>8200</v>
      </c>
    </row>
    <row r="23" spans="1:13" x14ac:dyDescent="0.3">
      <c r="A23" s="20" t="s">
        <v>256</v>
      </c>
      <c r="I23">
        <v>14000</v>
      </c>
      <c r="M23">
        <v>14000</v>
      </c>
    </row>
    <row r="24" spans="1:13" x14ac:dyDescent="0.3">
      <c r="A24" s="20" t="s">
        <v>260</v>
      </c>
      <c r="I24">
        <v>8600</v>
      </c>
      <c r="M24">
        <v>8600</v>
      </c>
    </row>
    <row r="25" spans="1:13" x14ac:dyDescent="0.3">
      <c r="A25" s="20" t="s">
        <v>217</v>
      </c>
      <c r="K25">
        <v>7800</v>
      </c>
      <c r="M25">
        <v>7800</v>
      </c>
    </row>
    <row r="26" spans="1:13" x14ac:dyDescent="0.3">
      <c r="A26" s="20" t="s">
        <v>238</v>
      </c>
      <c r="D26">
        <v>2500</v>
      </c>
      <c r="M26">
        <v>2500</v>
      </c>
    </row>
    <row r="27" spans="1:13" x14ac:dyDescent="0.3">
      <c r="A27" s="20" t="s">
        <v>258</v>
      </c>
      <c r="I27">
        <v>13500</v>
      </c>
      <c r="M27">
        <v>13500</v>
      </c>
    </row>
    <row r="28" spans="1:13" x14ac:dyDescent="0.3">
      <c r="A28" s="20" t="s">
        <v>264</v>
      </c>
      <c r="I28">
        <v>7000</v>
      </c>
      <c r="M28">
        <v>7000</v>
      </c>
    </row>
    <row r="29" spans="1:13" x14ac:dyDescent="0.3">
      <c r="A29" s="20" t="s">
        <v>187</v>
      </c>
      <c r="J29">
        <v>17000</v>
      </c>
      <c r="M29">
        <v>17000</v>
      </c>
    </row>
    <row r="30" spans="1:13" x14ac:dyDescent="0.3">
      <c r="A30" s="20" t="s">
        <v>220</v>
      </c>
      <c r="K30">
        <v>6900</v>
      </c>
      <c r="M30">
        <v>6900</v>
      </c>
    </row>
    <row r="31" spans="1:13" x14ac:dyDescent="0.3">
      <c r="A31" s="20" t="s">
        <v>241</v>
      </c>
      <c r="F31">
        <v>8000</v>
      </c>
      <c r="M31">
        <v>8000</v>
      </c>
    </row>
    <row r="32" spans="1:13" x14ac:dyDescent="0.3">
      <c r="A32" s="20" t="s">
        <v>277</v>
      </c>
      <c r="C32">
        <v>13000</v>
      </c>
      <c r="M32">
        <v>13000</v>
      </c>
    </row>
    <row r="33" spans="1:13" x14ac:dyDescent="0.3">
      <c r="A33" s="20" t="s">
        <v>205</v>
      </c>
      <c r="K33">
        <v>12000</v>
      </c>
      <c r="M33">
        <v>12000</v>
      </c>
    </row>
    <row r="34" spans="1:13" x14ac:dyDescent="0.3">
      <c r="A34" s="20" t="s">
        <v>184</v>
      </c>
      <c r="J34">
        <v>17000</v>
      </c>
      <c r="M34">
        <v>17000</v>
      </c>
    </row>
    <row r="35" spans="1:13" x14ac:dyDescent="0.3">
      <c r="A35" s="20" t="s">
        <v>280</v>
      </c>
      <c r="C35">
        <v>6000</v>
      </c>
      <c r="M35">
        <v>6000</v>
      </c>
    </row>
    <row r="36" spans="1:13" x14ac:dyDescent="0.3">
      <c r="A36" s="20" t="s">
        <v>247</v>
      </c>
      <c r="F36">
        <v>7900</v>
      </c>
      <c r="M36">
        <v>7900</v>
      </c>
    </row>
    <row r="37" spans="1:13" x14ac:dyDescent="0.3">
      <c r="A37" s="20" t="s">
        <v>268</v>
      </c>
      <c r="F37">
        <v>4000</v>
      </c>
      <c r="M37">
        <v>4000</v>
      </c>
    </row>
    <row r="38" spans="1:13" x14ac:dyDescent="0.3">
      <c r="A38" s="20" t="s">
        <v>250</v>
      </c>
      <c r="F38">
        <v>6500</v>
      </c>
      <c r="M38">
        <v>6500</v>
      </c>
    </row>
    <row r="39" spans="1:13" x14ac:dyDescent="0.3">
      <c r="A39" s="20" t="s">
        <v>289</v>
      </c>
      <c r="L39">
        <v>12000</v>
      </c>
      <c r="M39">
        <v>12000</v>
      </c>
    </row>
    <row r="40" spans="1:13" x14ac:dyDescent="0.3">
      <c r="A40" s="20" t="s">
        <v>229</v>
      </c>
      <c r="D40">
        <v>2900</v>
      </c>
      <c r="M40">
        <v>2900</v>
      </c>
    </row>
    <row r="41" spans="1:13" x14ac:dyDescent="0.3">
      <c r="A41" s="20" t="s">
        <v>232</v>
      </c>
      <c r="D41">
        <v>2800</v>
      </c>
      <c r="M41">
        <v>2800</v>
      </c>
    </row>
    <row r="42" spans="1:13" x14ac:dyDescent="0.3">
      <c r="A42" s="20" t="s">
        <v>181</v>
      </c>
      <c r="J42">
        <v>24000</v>
      </c>
      <c r="M42">
        <v>24000</v>
      </c>
    </row>
    <row r="43" spans="1:13" x14ac:dyDescent="0.3">
      <c r="A43" s="20" t="s">
        <v>283</v>
      </c>
      <c r="E43">
        <v>6500</v>
      </c>
      <c r="M43">
        <v>6500</v>
      </c>
    </row>
    <row r="44" spans="1:13" x14ac:dyDescent="0.3">
      <c r="A44" s="20" t="s">
        <v>199</v>
      </c>
      <c r="G44">
        <v>4800</v>
      </c>
      <c r="M44">
        <v>4800</v>
      </c>
    </row>
    <row r="45" spans="1:13" x14ac:dyDescent="0.3">
      <c r="A45" s="20" t="s">
        <v>292</v>
      </c>
      <c r="L45">
        <v>8300</v>
      </c>
      <c r="M45">
        <v>8300</v>
      </c>
    </row>
    <row r="46" spans="1:13" x14ac:dyDescent="0.3">
      <c r="A46" s="20" t="s">
        <v>297</v>
      </c>
      <c r="B46">
        <v>4400</v>
      </c>
      <c r="C46">
        <v>19000</v>
      </c>
      <c r="D46">
        <v>24900</v>
      </c>
      <c r="E46">
        <v>6500</v>
      </c>
      <c r="F46">
        <v>41200</v>
      </c>
      <c r="G46">
        <v>28800</v>
      </c>
      <c r="H46">
        <v>10000</v>
      </c>
      <c r="I46">
        <v>57700</v>
      </c>
      <c r="J46">
        <v>58000</v>
      </c>
      <c r="K46">
        <v>51600</v>
      </c>
      <c r="L46">
        <v>20300</v>
      </c>
      <c r="M46">
        <v>322400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1D08-BBB1-4F12-AFBD-B51A1E4420AF}">
  <sheetPr codeName="Sheet9"/>
  <dimension ref="A1:C15"/>
  <sheetViews>
    <sheetView workbookViewId="0">
      <selection activeCell="B4" sqref="B4:C15"/>
    </sheetView>
  </sheetViews>
  <sheetFormatPr defaultRowHeight="14.4" x14ac:dyDescent="0.3"/>
  <cols>
    <col min="1" max="1" width="15.88671875" bestFit="1" customWidth="1"/>
    <col min="2" max="2" width="12" bestFit="1" customWidth="1"/>
    <col min="3" max="3" width="13.33203125" bestFit="1" customWidth="1"/>
  </cols>
  <sheetData>
    <row r="1" spans="1:3" x14ac:dyDescent="0.3">
      <c r="B1" s="4" t="s">
        <v>301</v>
      </c>
    </row>
    <row r="3" spans="1:3" x14ac:dyDescent="0.3">
      <c r="A3" s="19" t="s">
        <v>296</v>
      </c>
      <c r="B3" t="s">
        <v>303</v>
      </c>
      <c r="C3" t="s">
        <v>302</v>
      </c>
    </row>
    <row r="4" spans="1:3" x14ac:dyDescent="0.3">
      <c r="A4" s="20" t="s">
        <v>177</v>
      </c>
      <c r="B4" s="31">
        <v>20300</v>
      </c>
      <c r="C4" s="31">
        <v>10150</v>
      </c>
    </row>
    <row r="5" spans="1:3" x14ac:dyDescent="0.3">
      <c r="A5" s="20" t="s">
        <v>167</v>
      </c>
      <c r="B5" s="31">
        <v>4400</v>
      </c>
      <c r="C5" s="31">
        <v>4400</v>
      </c>
    </row>
    <row r="6" spans="1:3" x14ac:dyDescent="0.3">
      <c r="A6" s="20" t="s">
        <v>175</v>
      </c>
      <c r="B6" s="31">
        <v>58000</v>
      </c>
      <c r="C6" s="31">
        <v>19333.333333333332</v>
      </c>
    </row>
    <row r="7" spans="1:3" x14ac:dyDescent="0.3">
      <c r="A7" s="20" t="s">
        <v>176</v>
      </c>
      <c r="B7" s="31">
        <v>51600</v>
      </c>
      <c r="C7" s="31">
        <v>8600</v>
      </c>
    </row>
    <row r="8" spans="1:3" x14ac:dyDescent="0.3">
      <c r="A8" s="20" t="s">
        <v>170</v>
      </c>
      <c r="B8" s="31">
        <v>6500</v>
      </c>
      <c r="C8" s="31">
        <v>6500</v>
      </c>
    </row>
    <row r="9" spans="1:3" x14ac:dyDescent="0.3">
      <c r="A9" s="20" t="s">
        <v>172</v>
      </c>
      <c r="B9" s="31">
        <v>28800</v>
      </c>
      <c r="C9" s="31">
        <v>5760</v>
      </c>
    </row>
    <row r="10" spans="1:3" x14ac:dyDescent="0.3">
      <c r="A10" s="20" t="s">
        <v>168</v>
      </c>
      <c r="B10" s="31">
        <v>19000</v>
      </c>
      <c r="C10" s="31">
        <v>9500</v>
      </c>
    </row>
    <row r="11" spans="1:3" x14ac:dyDescent="0.3">
      <c r="A11" s="20" t="s">
        <v>173</v>
      </c>
      <c r="B11" s="31">
        <v>10000</v>
      </c>
      <c r="C11" s="31">
        <v>10000</v>
      </c>
    </row>
    <row r="12" spans="1:3" x14ac:dyDescent="0.3">
      <c r="A12" s="20" t="s">
        <v>169</v>
      </c>
      <c r="B12" s="31">
        <v>24900</v>
      </c>
      <c r="C12" s="31">
        <v>4150</v>
      </c>
    </row>
    <row r="13" spans="1:3" x14ac:dyDescent="0.3">
      <c r="A13" s="20" t="s">
        <v>174</v>
      </c>
      <c r="B13" s="31">
        <v>57700</v>
      </c>
      <c r="C13" s="31">
        <v>9616.6666666666661</v>
      </c>
    </row>
    <row r="14" spans="1:3" x14ac:dyDescent="0.3">
      <c r="A14" s="20" t="s">
        <v>171</v>
      </c>
      <c r="B14" s="31">
        <v>41200</v>
      </c>
      <c r="C14" s="31">
        <v>5885.7142857142853</v>
      </c>
    </row>
    <row r="15" spans="1:3" x14ac:dyDescent="0.3">
      <c r="A15" s="20" t="s">
        <v>297</v>
      </c>
      <c r="B15" s="31">
        <v>322400</v>
      </c>
      <c r="C15" s="31">
        <v>8060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16660-7CAE-46F6-96DD-CBC0AC684F47}">
  <sheetPr codeName="Sheet10"/>
  <dimension ref="A3:Z1006"/>
  <sheetViews>
    <sheetView workbookViewId="0">
      <selection activeCell="B9" sqref="A8:J47"/>
    </sheetView>
  </sheetViews>
  <sheetFormatPr defaultColWidth="12.6640625" defaultRowHeight="15" customHeight="1" x14ac:dyDescent="0.3"/>
  <cols>
    <col min="1" max="1" width="13.5546875" customWidth="1"/>
    <col min="2" max="2" width="11.6640625" customWidth="1"/>
    <col min="3" max="3" width="11.44140625" customWidth="1"/>
    <col min="4" max="4" width="27.77734375" customWidth="1"/>
    <col min="5" max="5" width="15.21875" customWidth="1"/>
    <col min="6" max="6" width="21.77734375" customWidth="1"/>
    <col min="7" max="8" width="8.6640625" customWidth="1"/>
    <col min="9" max="9" width="12.5546875" customWidth="1"/>
    <col min="10" max="10" width="15.21875" customWidth="1"/>
    <col min="11" max="26" width="8.6640625" customWidth="1"/>
  </cols>
  <sheetData>
    <row r="3" spans="1:26" ht="15" customHeight="1" x14ac:dyDescent="0.35">
      <c r="B3" s="15"/>
    </row>
    <row r="7" spans="1:26" ht="14.25" customHeight="1" x14ac:dyDescent="0.3">
      <c r="A7" s="1" t="s">
        <v>0</v>
      </c>
      <c r="B7" s="1" t="s">
        <v>1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6</v>
      </c>
      <c r="H7" s="1" t="s">
        <v>7</v>
      </c>
      <c r="I7" s="1" t="s">
        <v>8</v>
      </c>
      <c r="J7" s="1" t="s">
        <v>9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2">
        <v>100</v>
      </c>
      <c r="B8" s="2" t="s">
        <v>10</v>
      </c>
      <c r="C8" s="2" t="s">
        <v>11</v>
      </c>
      <c r="D8" s="2" t="s">
        <v>12</v>
      </c>
      <c r="E8" s="2" t="s">
        <v>13</v>
      </c>
      <c r="F8" s="3">
        <v>31945</v>
      </c>
      <c r="G8" s="2">
        <v>4</v>
      </c>
      <c r="H8" s="2">
        <v>24000</v>
      </c>
      <c r="J8" s="2">
        <v>9</v>
      </c>
    </row>
    <row r="9" spans="1:26" ht="14.25" customHeight="1" x14ac:dyDescent="0.3">
      <c r="A9" s="2">
        <v>101</v>
      </c>
      <c r="B9" s="2" t="s">
        <v>14</v>
      </c>
      <c r="C9" s="2" t="s">
        <v>15</v>
      </c>
      <c r="D9" s="2" t="s">
        <v>16</v>
      </c>
      <c r="E9" s="2" t="s">
        <v>17</v>
      </c>
      <c r="F9" s="3">
        <v>32772</v>
      </c>
      <c r="G9" s="2">
        <v>5</v>
      </c>
      <c r="H9" s="2">
        <v>17000</v>
      </c>
      <c r="I9" s="2">
        <v>100</v>
      </c>
      <c r="J9" s="2">
        <v>9</v>
      </c>
    </row>
    <row r="10" spans="1:26" ht="14.25" customHeight="1" x14ac:dyDescent="0.3">
      <c r="A10" s="2">
        <v>102</v>
      </c>
      <c r="B10" s="2" t="s">
        <v>18</v>
      </c>
      <c r="C10" s="2" t="s">
        <v>19</v>
      </c>
      <c r="D10" s="2" t="s">
        <v>20</v>
      </c>
      <c r="E10" s="2" t="s">
        <v>21</v>
      </c>
      <c r="F10" s="3">
        <v>33982</v>
      </c>
      <c r="G10" s="2">
        <v>5</v>
      </c>
      <c r="H10" s="2">
        <v>17000</v>
      </c>
      <c r="I10" s="2">
        <v>100</v>
      </c>
      <c r="J10" s="2">
        <v>9</v>
      </c>
    </row>
    <row r="11" spans="1:26" ht="14.25" customHeight="1" x14ac:dyDescent="0.3">
      <c r="A11" s="2">
        <v>103</v>
      </c>
      <c r="B11" s="2" t="s">
        <v>22</v>
      </c>
      <c r="C11" s="2" t="s">
        <v>23</v>
      </c>
      <c r="D11" s="2" t="s">
        <v>24</v>
      </c>
      <c r="E11" s="2" t="s">
        <v>25</v>
      </c>
      <c r="F11" s="3">
        <v>32876</v>
      </c>
      <c r="G11" s="2">
        <v>9</v>
      </c>
      <c r="H11" s="2">
        <v>9000</v>
      </c>
      <c r="I11" s="2">
        <v>102</v>
      </c>
      <c r="J11" s="2">
        <v>6</v>
      </c>
    </row>
    <row r="12" spans="1:26" ht="14.25" customHeight="1" x14ac:dyDescent="0.3">
      <c r="A12" s="2">
        <v>104</v>
      </c>
      <c r="B12" s="2" t="s">
        <v>26</v>
      </c>
      <c r="C12" s="2" t="s">
        <v>27</v>
      </c>
      <c r="D12" s="2" t="s">
        <v>28</v>
      </c>
      <c r="E12" s="2" t="s">
        <v>29</v>
      </c>
      <c r="F12" s="3">
        <v>33379</v>
      </c>
      <c r="G12" s="2">
        <v>9</v>
      </c>
      <c r="H12" s="2">
        <v>6000</v>
      </c>
      <c r="I12" s="2">
        <v>103</v>
      </c>
      <c r="J12" s="2">
        <v>6</v>
      </c>
    </row>
    <row r="13" spans="1:26" ht="14.25" customHeight="1" x14ac:dyDescent="0.3">
      <c r="A13" s="2">
        <v>105</v>
      </c>
      <c r="B13" s="2" t="s">
        <v>30</v>
      </c>
      <c r="C13" s="2" t="s">
        <v>31</v>
      </c>
      <c r="D13" s="2" t="s">
        <v>32</v>
      </c>
      <c r="E13" s="2" t="s">
        <v>33</v>
      </c>
      <c r="F13" s="3">
        <v>35606</v>
      </c>
      <c r="G13" s="2">
        <v>9</v>
      </c>
      <c r="H13" s="2">
        <v>4800</v>
      </c>
      <c r="I13" s="2">
        <v>103</v>
      </c>
      <c r="J13" s="2">
        <v>6</v>
      </c>
    </row>
    <row r="14" spans="1:26" ht="14.25" customHeight="1" x14ac:dyDescent="0.3">
      <c r="A14" s="2">
        <v>106</v>
      </c>
      <c r="B14" s="2" t="s">
        <v>34</v>
      </c>
      <c r="C14" s="2" t="s">
        <v>35</v>
      </c>
      <c r="D14" s="2" t="s">
        <v>36</v>
      </c>
      <c r="E14" s="2" t="s">
        <v>37</v>
      </c>
      <c r="F14" s="3">
        <v>35831</v>
      </c>
      <c r="G14" s="2">
        <v>9</v>
      </c>
      <c r="H14" s="2">
        <v>4800</v>
      </c>
      <c r="I14" s="2">
        <v>103</v>
      </c>
      <c r="J14" s="2">
        <v>6</v>
      </c>
    </row>
    <row r="15" spans="1:26" ht="14.25" customHeight="1" x14ac:dyDescent="0.3">
      <c r="A15" s="2">
        <v>107</v>
      </c>
      <c r="B15" s="2" t="s">
        <v>38</v>
      </c>
      <c r="C15" s="2" t="s">
        <v>39</v>
      </c>
      <c r="D15" s="2" t="s">
        <v>40</v>
      </c>
      <c r="E15" s="2" t="s">
        <v>41</v>
      </c>
      <c r="F15" s="3">
        <v>36198</v>
      </c>
      <c r="G15" s="2">
        <v>9</v>
      </c>
      <c r="H15" s="2">
        <v>4200</v>
      </c>
      <c r="I15" s="2">
        <v>103</v>
      </c>
      <c r="J15" s="2">
        <v>6</v>
      </c>
    </row>
    <row r="16" spans="1:26" ht="14.25" customHeight="1" x14ac:dyDescent="0.3">
      <c r="A16" s="2">
        <v>108</v>
      </c>
      <c r="B16" s="2" t="s">
        <v>42</v>
      </c>
      <c r="C16" s="2" t="s">
        <v>43</v>
      </c>
      <c r="D16" s="2" t="s">
        <v>44</v>
      </c>
      <c r="E16" s="2" t="s">
        <v>45</v>
      </c>
      <c r="F16" s="3">
        <v>34563</v>
      </c>
      <c r="G16" s="2">
        <v>7</v>
      </c>
      <c r="H16" s="2">
        <v>12000</v>
      </c>
      <c r="I16" s="2">
        <v>101</v>
      </c>
      <c r="J16" s="2">
        <v>10</v>
      </c>
    </row>
    <row r="17" spans="1:10" ht="14.25" customHeight="1" x14ac:dyDescent="0.3">
      <c r="A17" s="2">
        <v>109</v>
      </c>
      <c r="B17" s="2" t="s">
        <v>46</v>
      </c>
      <c r="C17" s="2" t="s">
        <v>47</v>
      </c>
      <c r="D17" s="2" t="s">
        <v>48</v>
      </c>
      <c r="E17" s="2" t="s">
        <v>49</v>
      </c>
      <c r="F17" s="3">
        <v>34562</v>
      </c>
      <c r="G17" s="2">
        <v>6</v>
      </c>
      <c r="H17" s="2">
        <v>9000</v>
      </c>
      <c r="I17" s="2">
        <v>108</v>
      </c>
      <c r="J17" s="2">
        <v>10</v>
      </c>
    </row>
    <row r="18" spans="1:10" ht="14.25" customHeight="1" x14ac:dyDescent="0.3">
      <c r="A18" s="2">
        <v>110</v>
      </c>
      <c r="B18" s="2" t="s">
        <v>50</v>
      </c>
      <c r="C18" s="2" t="s">
        <v>51</v>
      </c>
      <c r="D18" s="2" t="s">
        <v>52</v>
      </c>
      <c r="E18" s="2" t="s">
        <v>53</v>
      </c>
      <c r="F18" s="3">
        <v>35701</v>
      </c>
      <c r="G18" s="2">
        <v>6</v>
      </c>
      <c r="H18" s="2">
        <v>8200</v>
      </c>
      <c r="I18" s="2">
        <v>108</v>
      </c>
      <c r="J18" s="2">
        <v>10</v>
      </c>
    </row>
    <row r="19" spans="1:10" ht="14.25" customHeight="1" x14ac:dyDescent="0.3">
      <c r="A19" s="2">
        <v>111</v>
      </c>
      <c r="B19" s="2" t="s">
        <v>54</v>
      </c>
      <c r="C19" s="2" t="s">
        <v>55</v>
      </c>
      <c r="D19" s="2" t="s">
        <v>56</v>
      </c>
      <c r="E19" s="2" t="s">
        <v>57</v>
      </c>
      <c r="F19" s="3">
        <v>35703</v>
      </c>
      <c r="G19" s="2">
        <v>6</v>
      </c>
      <c r="H19" s="2">
        <v>7700</v>
      </c>
      <c r="I19" s="2">
        <v>108</v>
      </c>
      <c r="J19" s="2">
        <v>10</v>
      </c>
    </row>
    <row r="20" spans="1:10" ht="14.25" customHeight="1" x14ac:dyDescent="0.3">
      <c r="A20" s="2">
        <v>112</v>
      </c>
      <c r="B20" s="2" t="s">
        <v>58</v>
      </c>
      <c r="C20" s="2" t="s">
        <v>59</v>
      </c>
      <c r="D20" s="2" t="s">
        <v>60</v>
      </c>
      <c r="E20" s="2" t="s">
        <v>61</v>
      </c>
      <c r="F20" s="3">
        <v>35861</v>
      </c>
      <c r="G20" s="2">
        <v>6</v>
      </c>
      <c r="H20" s="2">
        <v>7800</v>
      </c>
      <c r="I20" s="2">
        <v>108</v>
      </c>
      <c r="J20" s="2">
        <v>10</v>
      </c>
    </row>
    <row r="21" spans="1:10" ht="14.25" customHeight="1" x14ac:dyDescent="0.3">
      <c r="A21" s="2">
        <v>113</v>
      </c>
      <c r="B21" s="2" t="s">
        <v>62</v>
      </c>
      <c r="C21" s="2" t="s">
        <v>63</v>
      </c>
      <c r="D21" s="2" t="s">
        <v>64</v>
      </c>
      <c r="E21" s="2" t="s">
        <v>65</v>
      </c>
      <c r="F21" s="3">
        <v>36501</v>
      </c>
      <c r="G21" s="2">
        <v>6</v>
      </c>
      <c r="H21" s="2">
        <v>6900</v>
      </c>
      <c r="I21" s="2">
        <v>108</v>
      </c>
      <c r="J21" s="2">
        <v>10</v>
      </c>
    </row>
    <row r="22" spans="1:10" ht="14.25" customHeight="1" x14ac:dyDescent="0.3">
      <c r="A22" s="2">
        <v>114</v>
      </c>
      <c r="B22" s="2" t="s">
        <v>66</v>
      </c>
      <c r="C22" s="2" t="s">
        <v>67</v>
      </c>
      <c r="D22" s="2" t="s">
        <v>68</v>
      </c>
      <c r="E22" s="2" t="s">
        <v>69</v>
      </c>
      <c r="F22" s="3">
        <v>34675</v>
      </c>
      <c r="G22" s="2">
        <v>14</v>
      </c>
      <c r="H22" s="2">
        <v>11000</v>
      </c>
      <c r="I22" s="2">
        <v>100</v>
      </c>
      <c r="J22" s="2">
        <v>3</v>
      </c>
    </row>
    <row r="23" spans="1:10" ht="14.25" customHeight="1" x14ac:dyDescent="0.3">
      <c r="A23" s="2">
        <v>115</v>
      </c>
      <c r="B23" s="2" t="s">
        <v>22</v>
      </c>
      <c r="C23" s="2" t="s">
        <v>70</v>
      </c>
      <c r="D23" s="2" t="s">
        <v>71</v>
      </c>
      <c r="E23" s="2" t="s">
        <v>72</v>
      </c>
      <c r="F23" s="3">
        <v>34837</v>
      </c>
      <c r="G23" s="2">
        <v>13</v>
      </c>
      <c r="H23" s="2">
        <v>3100</v>
      </c>
      <c r="I23" s="2">
        <v>114</v>
      </c>
      <c r="J23" s="2">
        <v>3</v>
      </c>
    </row>
    <row r="24" spans="1:10" ht="14.25" customHeight="1" x14ac:dyDescent="0.3">
      <c r="A24" s="2">
        <v>116</v>
      </c>
      <c r="B24" s="2" t="s">
        <v>73</v>
      </c>
      <c r="C24" s="2" t="s">
        <v>74</v>
      </c>
      <c r="D24" s="2" t="s">
        <v>75</v>
      </c>
      <c r="E24" s="2" t="s">
        <v>76</v>
      </c>
      <c r="F24" s="3">
        <v>35788</v>
      </c>
      <c r="G24" s="2">
        <v>13</v>
      </c>
      <c r="H24" s="2">
        <v>2900</v>
      </c>
      <c r="I24" s="2">
        <v>114</v>
      </c>
      <c r="J24" s="2">
        <v>3</v>
      </c>
    </row>
    <row r="25" spans="1:10" ht="14.25" customHeight="1" x14ac:dyDescent="0.3">
      <c r="A25" s="2">
        <v>117</v>
      </c>
      <c r="B25" s="2" t="s">
        <v>77</v>
      </c>
      <c r="C25" s="2" t="s">
        <v>78</v>
      </c>
      <c r="D25" s="2" t="s">
        <v>79</v>
      </c>
      <c r="E25" s="2" t="s">
        <v>80</v>
      </c>
      <c r="F25" s="3">
        <v>35635</v>
      </c>
      <c r="G25" s="2">
        <v>13</v>
      </c>
      <c r="H25" s="2">
        <v>2800</v>
      </c>
      <c r="I25" s="2">
        <v>114</v>
      </c>
      <c r="J25" s="2">
        <v>3</v>
      </c>
    </row>
    <row r="26" spans="1:10" ht="14.25" customHeight="1" x14ac:dyDescent="0.3">
      <c r="A26" s="2">
        <v>118</v>
      </c>
      <c r="B26" s="2" t="s">
        <v>81</v>
      </c>
      <c r="C26" s="2" t="s">
        <v>82</v>
      </c>
      <c r="D26" s="2" t="s">
        <v>83</v>
      </c>
      <c r="E26" s="2" t="s">
        <v>84</v>
      </c>
      <c r="F26" s="3">
        <v>36114</v>
      </c>
      <c r="G26" s="2">
        <v>13</v>
      </c>
      <c r="H26" s="2">
        <v>2600</v>
      </c>
      <c r="I26" s="2">
        <v>114</v>
      </c>
      <c r="J26" s="2">
        <v>3</v>
      </c>
    </row>
    <row r="27" spans="1:10" ht="14.25" customHeight="1" x14ac:dyDescent="0.3">
      <c r="A27" s="2">
        <v>119</v>
      </c>
      <c r="B27" s="2" t="s">
        <v>85</v>
      </c>
      <c r="C27" s="2" t="s">
        <v>86</v>
      </c>
      <c r="D27" s="2" t="s">
        <v>87</v>
      </c>
      <c r="E27" s="2" t="s">
        <v>88</v>
      </c>
      <c r="F27" s="3">
        <v>36382</v>
      </c>
      <c r="G27" s="2">
        <v>13</v>
      </c>
      <c r="H27" s="2">
        <v>2500</v>
      </c>
      <c r="I27" s="2">
        <v>114</v>
      </c>
      <c r="J27" s="2">
        <v>3</v>
      </c>
    </row>
    <row r="28" spans="1:10" ht="14.25" customHeight="1" x14ac:dyDescent="0.3">
      <c r="A28" s="2">
        <v>120</v>
      </c>
      <c r="B28" s="2" t="s">
        <v>89</v>
      </c>
      <c r="C28" s="2" t="s">
        <v>90</v>
      </c>
      <c r="D28" s="2" t="s">
        <v>91</v>
      </c>
      <c r="E28" s="2" t="s">
        <v>92</v>
      </c>
      <c r="F28" s="3">
        <v>35264</v>
      </c>
      <c r="G28" s="2">
        <v>19</v>
      </c>
      <c r="H28" s="2">
        <v>8000</v>
      </c>
      <c r="I28" s="2">
        <v>100</v>
      </c>
      <c r="J28" s="2">
        <v>5</v>
      </c>
    </row>
    <row r="29" spans="1:10" ht="14.25" customHeight="1" x14ac:dyDescent="0.3">
      <c r="A29" s="2">
        <v>121</v>
      </c>
      <c r="B29" s="2" t="s">
        <v>93</v>
      </c>
      <c r="C29" s="2" t="s">
        <v>94</v>
      </c>
      <c r="D29" s="2" t="s">
        <v>95</v>
      </c>
      <c r="E29" s="2" t="s">
        <v>96</v>
      </c>
      <c r="F29" s="3">
        <v>35530</v>
      </c>
      <c r="G29" s="2">
        <v>19</v>
      </c>
      <c r="H29" s="2">
        <v>8200</v>
      </c>
      <c r="I29" s="2">
        <v>100</v>
      </c>
      <c r="J29" s="2">
        <v>5</v>
      </c>
    </row>
    <row r="30" spans="1:10" ht="14.25" customHeight="1" x14ac:dyDescent="0.3">
      <c r="A30" s="2">
        <v>122</v>
      </c>
      <c r="B30" s="2" t="s">
        <v>97</v>
      </c>
      <c r="C30" s="2" t="s">
        <v>98</v>
      </c>
      <c r="D30" s="2" t="s">
        <v>99</v>
      </c>
      <c r="E30" s="2" t="s">
        <v>100</v>
      </c>
      <c r="F30" s="3">
        <v>34820</v>
      </c>
      <c r="G30" s="2">
        <v>19</v>
      </c>
      <c r="H30" s="2">
        <v>7900</v>
      </c>
      <c r="I30" s="2">
        <v>100</v>
      </c>
      <c r="J30" s="2">
        <v>5</v>
      </c>
    </row>
    <row r="31" spans="1:10" ht="14.25" customHeight="1" x14ac:dyDescent="0.3">
      <c r="A31" s="2">
        <v>123</v>
      </c>
      <c r="B31" s="2" t="s">
        <v>101</v>
      </c>
      <c r="C31" s="2" t="s">
        <v>102</v>
      </c>
      <c r="D31" s="2" t="s">
        <v>103</v>
      </c>
      <c r="E31" s="2" t="s">
        <v>104</v>
      </c>
      <c r="F31" s="3">
        <v>35713</v>
      </c>
      <c r="G31" s="2">
        <v>19</v>
      </c>
      <c r="H31" s="2">
        <v>6500</v>
      </c>
      <c r="I31" s="2">
        <v>100</v>
      </c>
      <c r="J31" s="2">
        <v>5</v>
      </c>
    </row>
    <row r="32" spans="1:10" ht="14.25" customHeight="1" x14ac:dyDescent="0.3">
      <c r="A32" s="2">
        <v>126</v>
      </c>
      <c r="B32" s="2" t="s">
        <v>105</v>
      </c>
      <c r="C32" s="2" t="s">
        <v>106</v>
      </c>
      <c r="D32" s="2" t="s">
        <v>107</v>
      </c>
      <c r="E32" s="2" t="s">
        <v>108</v>
      </c>
      <c r="F32" s="3">
        <v>36066</v>
      </c>
      <c r="G32" s="2">
        <v>18</v>
      </c>
      <c r="H32" s="2">
        <v>2700</v>
      </c>
      <c r="I32" s="2">
        <v>120</v>
      </c>
      <c r="J32" s="2">
        <v>5</v>
      </c>
    </row>
    <row r="33" spans="1:10" ht="14.25" customHeight="1" x14ac:dyDescent="0.3">
      <c r="A33" s="2">
        <v>145</v>
      </c>
      <c r="B33" s="2" t="s">
        <v>50</v>
      </c>
      <c r="C33" s="2" t="s">
        <v>109</v>
      </c>
      <c r="D33" s="2" t="s">
        <v>110</v>
      </c>
      <c r="F33" s="3">
        <v>35339</v>
      </c>
      <c r="G33" s="2">
        <v>15</v>
      </c>
      <c r="H33" s="2">
        <v>14000</v>
      </c>
      <c r="I33" s="2">
        <v>100</v>
      </c>
      <c r="J33" s="2">
        <v>8</v>
      </c>
    </row>
    <row r="34" spans="1:10" ht="14.25" customHeight="1" x14ac:dyDescent="0.3">
      <c r="A34" s="2">
        <v>146</v>
      </c>
      <c r="B34" s="2" t="s">
        <v>85</v>
      </c>
      <c r="C34" s="2" t="s">
        <v>111</v>
      </c>
      <c r="D34" s="2" t="s">
        <v>112</v>
      </c>
      <c r="F34" s="3">
        <v>35435</v>
      </c>
      <c r="G34" s="2">
        <v>15</v>
      </c>
      <c r="H34" s="2">
        <v>13500</v>
      </c>
      <c r="I34" s="2">
        <v>100</v>
      </c>
      <c r="J34" s="2">
        <v>8</v>
      </c>
    </row>
    <row r="35" spans="1:10" ht="14.25" customHeight="1" x14ac:dyDescent="0.3">
      <c r="A35" s="2">
        <v>176</v>
      </c>
      <c r="B35" s="2" t="s">
        <v>113</v>
      </c>
      <c r="C35" s="2" t="s">
        <v>114</v>
      </c>
      <c r="D35" s="2" t="s">
        <v>115</v>
      </c>
      <c r="F35" s="3">
        <v>35878</v>
      </c>
      <c r="G35" s="2">
        <v>16</v>
      </c>
      <c r="H35" s="2">
        <v>8600</v>
      </c>
      <c r="I35" s="2">
        <v>100</v>
      </c>
      <c r="J35" s="2">
        <v>8</v>
      </c>
    </row>
    <row r="36" spans="1:10" ht="14.25" customHeight="1" x14ac:dyDescent="0.3">
      <c r="A36" s="2">
        <v>177</v>
      </c>
      <c r="B36" s="2" t="s">
        <v>116</v>
      </c>
      <c r="C36" s="2" t="s">
        <v>117</v>
      </c>
      <c r="D36" s="2" t="s">
        <v>118</v>
      </c>
      <c r="F36" s="3">
        <v>35908</v>
      </c>
      <c r="G36" s="2">
        <v>16</v>
      </c>
      <c r="H36" s="2">
        <v>8400</v>
      </c>
      <c r="I36" s="2">
        <v>100</v>
      </c>
      <c r="J36" s="2">
        <v>8</v>
      </c>
    </row>
    <row r="37" spans="1:10" ht="14.25" customHeight="1" x14ac:dyDescent="0.3">
      <c r="A37" s="2">
        <v>178</v>
      </c>
      <c r="B37" s="2" t="s">
        <v>119</v>
      </c>
      <c r="C37" s="2" t="s">
        <v>120</v>
      </c>
      <c r="D37" s="2" t="s">
        <v>121</v>
      </c>
      <c r="F37" s="3">
        <v>36304</v>
      </c>
      <c r="G37" s="2">
        <v>16</v>
      </c>
      <c r="H37" s="2">
        <v>7000</v>
      </c>
      <c r="I37" s="2">
        <v>100</v>
      </c>
      <c r="J37" s="2">
        <v>8</v>
      </c>
    </row>
    <row r="38" spans="1:10" ht="14.25" customHeight="1" x14ac:dyDescent="0.3">
      <c r="A38" s="2">
        <v>179</v>
      </c>
      <c r="B38" s="2" t="s">
        <v>122</v>
      </c>
      <c r="C38" s="2" t="s">
        <v>123</v>
      </c>
      <c r="D38" s="2" t="s">
        <v>124</v>
      </c>
      <c r="F38" s="3">
        <v>36529</v>
      </c>
      <c r="G38" s="2">
        <v>16</v>
      </c>
      <c r="H38" s="2">
        <v>6200</v>
      </c>
      <c r="I38" s="2">
        <v>100</v>
      </c>
      <c r="J38" s="2">
        <v>8</v>
      </c>
    </row>
    <row r="39" spans="1:10" ht="14.25" customHeight="1" x14ac:dyDescent="0.3">
      <c r="A39" s="2">
        <v>192</v>
      </c>
      <c r="B39" s="2" t="s">
        <v>125</v>
      </c>
      <c r="C39" s="2" t="s">
        <v>126</v>
      </c>
      <c r="D39" s="2" t="s">
        <v>127</v>
      </c>
      <c r="E39" s="2" t="s">
        <v>128</v>
      </c>
      <c r="F39" s="3">
        <v>35099</v>
      </c>
      <c r="G39" s="2">
        <v>17</v>
      </c>
      <c r="H39" s="2">
        <v>4000</v>
      </c>
      <c r="I39" s="2">
        <v>123</v>
      </c>
      <c r="J39" s="2">
        <v>5</v>
      </c>
    </row>
    <row r="40" spans="1:10" ht="14.25" customHeight="1" x14ac:dyDescent="0.3">
      <c r="A40" s="2">
        <v>193</v>
      </c>
      <c r="B40" s="2" t="s">
        <v>129</v>
      </c>
      <c r="C40" s="2" t="s">
        <v>130</v>
      </c>
      <c r="D40" s="2" t="s">
        <v>131</v>
      </c>
      <c r="E40" s="2" t="s">
        <v>132</v>
      </c>
      <c r="F40" s="3">
        <v>35492</v>
      </c>
      <c r="G40" s="2">
        <v>17</v>
      </c>
      <c r="H40" s="2">
        <v>3900</v>
      </c>
      <c r="I40" s="2">
        <v>123</v>
      </c>
      <c r="J40" s="2">
        <v>5</v>
      </c>
    </row>
    <row r="41" spans="1:10" ht="14.25" customHeight="1" x14ac:dyDescent="0.3">
      <c r="A41" s="2">
        <v>200</v>
      </c>
      <c r="B41" s="2" t="s">
        <v>133</v>
      </c>
      <c r="C41" s="2" t="s">
        <v>134</v>
      </c>
      <c r="D41" s="2" t="s">
        <v>135</v>
      </c>
      <c r="E41" s="2" t="s">
        <v>136</v>
      </c>
      <c r="F41" s="3">
        <v>32037</v>
      </c>
      <c r="G41" s="2">
        <v>3</v>
      </c>
      <c r="H41" s="2">
        <v>4400</v>
      </c>
      <c r="I41" s="2">
        <v>101</v>
      </c>
      <c r="J41" s="2">
        <v>1</v>
      </c>
    </row>
    <row r="42" spans="1:10" ht="14.25" customHeight="1" x14ac:dyDescent="0.3">
      <c r="A42" s="2">
        <v>201</v>
      </c>
      <c r="B42" s="2" t="s">
        <v>137</v>
      </c>
      <c r="C42" s="2" t="s">
        <v>138</v>
      </c>
      <c r="D42" s="2" t="s">
        <v>139</v>
      </c>
      <c r="E42" s="2" t="s">
        <v>140</v>
      </c>
      <c r="F42" s="3">
        <v>35112</v>
      </c>
      <c r="G42" s="2">
        <v>10</v>
      </c>
      <c r="H42" s="2">
        <v>13000</v>
      </c>
      <c r="I42" s="2">
        <v>100</v>
      </c>
      <c r="J42" s="2">
        <v>2</v>
      </c>
    </row>
    <row r="43" spans="1:10" ht="14.25" customHeight="1" x14ac:dyDescent="0.3">
      <c r="A43" s="2">
        <v>202</v>
      </c>
      <c r="B43" s="2" t="s">
        <v>141</v>
      </c>
      <c r="C43" s="2" t="s">
        <v>142</v>
      </c>
      <c r="D43" s="2" t="s">
        <v>143</v>
      </c>
      <c r="E43" s="2" t="s">
        <v>144</v>
      </c>
      <c r="F43" s="3">
        <v>35659</v>
      </c>
      <c r="G43" s="2">
        <v>11</v>
      </c>
      <c r="H43" s="2">
        <v>6000</v>
      </c>
      <c r="I43" s="2">
        <v>201</v>
      </c>
      <c r="J43" s="2">
        <v>2</v>
      </c>
    </row>
    <row r="44" spans="1:10" ht="14.25" customHeight="1" x14ac:dyDescent="0.3">
      <c r="A44" s="2">
        <v>203</v>
      </c>
      <c r="B44" s="2" t="s">
        <v>145</v>
      </c>
      <c r="C44" s="2" t="s">
        <v>146</v>
      </c>
      <c r="D44" s="2" t="s">
        <v>147</v>
      </c>
      <c r="E44" s="2" t="s">
        <v>148</v>
      </c>
      <c r="F44" s="3">
        <v>34492</v>
      </c>
      <c r="G44" s="2">
        <v>8</v>
      </c>
      <c r="H44" s="2">
        <v>6500</v>
      </c>
      <c r="I44" s="2">
        <v>101</v>
      </c>
      <c r="J44" s="2">
        <v>4</v>
      </c>
    </row>
    <row r="45" spans="1:10" ht="14.25" customHeight="1" x14ac:dyDescent="0.3">
      <c r="A45" s="2">
        <v>204</v>
      </c>
      <c r="B45" s="2" t="s">
        <v>149</v>
      </c>
      <c r="C45" s="2" t="s">
        <v>150</v>
      </c>
      <c r="D45" s="2" t="s">
        <v>151</v>
      </c>
      <c r="E45" s="2" t="s">
        <v>152</v>
      </c>
      <c r="F45" s="3">
        <v>34492</v>
      </c>
      <c r="G45" s="2">
        <v>12</v>
      </c>
      <c r="H45" s="2">
        <v>10000</v>
      </c>
      <c r="I45" s="2">
        <v>101</v>
      </c>
      <c r="J45" s="2">
        <v>7</v>
      </c>
    </row>
    <row r="46" spans="1:10" ht="14.25" customHeight="1" x14ac:dyDescent="0.3">
      <c r="A46" s="2">
        <v>205</v>
      </c>
      <c r="B46" s="2" t="s">
        <v>153</v>
      </c>
      <c r="C46" s="2" t="s">
        <v>154</v>
      </c>
      <c r="D46" s="2" t="s">
        <v>155</v>
      </c>
      <c r="E46" s="2" t="s">
        <v>156</v>
      </c>
      <c r="F46" s="3">
        <v>34492</v>
      </c>
      <c r="G46" s="2">
        <v>2</v>
      </c>
      <c r="H46" s="2">
        <v>12000</v>
      </c>
      <c r="I46" s="2">
        <v>101</v>
      </c>
      <c r="J46" s="2">
        <v>11</v>
      </c>
    </row>
    <row r="47" spans="1:10" ht="14.25" customHeight="1" x14ac:dyDescent="0.3">
      <c r="A47" s="2">
        <v>206</v>
      </c>
      <c r="B47" s="2" t="s">
        <v>157</v>
      </c>
      <c r="C47" s="2" t="s">
        <v>158</v>
      </c>
      <c r="D47" s="2" t="s">
        <v>159</v>
      </c>
      <c r="E47" s="2" t="s">
        <v>160</v>
      </c>
      <c r="F47" s="3">
        <v>34492</v>
      </c>
      <c r="G47" s="2">
        <v>1</v>
      </c>
      <c r="H47" s="2">
        <v>8300</v>
      </c>
      <c r="I47" s="2">
        <v>205</v>
      </c>
      <c r="J47" s="2">
        <v>11</v>
      </c>
    </row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F2841-A668-446D-9457-A5ED82798020}">
  <sheetPr codeName="Sheet11"/>
  <dimension ref="A1:AC1006"/>
  <sheetViews>
    <sheetView workbookViewId="0">
      <selection activeCell="N33" sqref="N33"/>
    </sheetView>
  </sheetViews>
  <sheetFormatPr defaultColWidth="12.6640625" defaultRowHeight="15" customHeight="1" x14ac:dyDescent="0.3"/>
  <cols>
    <col min="1" max="1" width="13.5546875" customWidth="1"/>
    <col min="2" max="2" width="11.6640625" customWidth="1"/>
    <col min="3" max="3" width="11.44140625" customWidth="1"/>
    <col min="4" max="4" width="27.77734375" customWidth="1"/>
    <col min="5" max="5" width="15.21875" customWidth="1"/>
    <col min="6" max="6" width="21.77734375" customWidth="1"/>
    <col min="7" max="8" width="8.6640625" customWidth="1"/>
    <col min="9" max="9" width="12.5546875" customWidth="1"/>
    <col min="10" max="10" width="15.21875" customWidth="1"/>
    <col min="11" max="11" width="8.33203125" customWidth="1"/>
    <col min="12" max="12" width="3.88671875" customWidth="1"/>
    <col min="13" max="13" width="13.44140625" bestFit="1" customWidth="1"/>
    <col min="14" max="14" width="16.44140625" bestFit="1" customWidth="1"/>
    <col min="15" max="15" width="8.6640625" customWidth="1"/>
    <col min="16" max="16" width="15.6640625" bestFit="1" customWidth="1"/>
    <col min="17" max="17" width="18.6640625" bestFit="1" customWidth="1"/>
    <col min="18" max="18" width="12.44140625" bestFit="1" customWidth="1"/>
    <col min="19" max="19" width="8.6640625" customWidth="1"/>
    <col min="20" max="20" width="16.44140625" bestFit="1" customWidth="1"/>
    <col min="21" max="29" width="8.6640625" customWidth="1"/>
  </cols>
  <sheetData>
    <row r="1" spans="1:29" ht="15" customHeight="1" x14ac:dyDescent="0.35">
      <c r="C1" s="22" t="s">
        <v>304</v>
      </c>
    </row>
    <row r="3" spans="1:29" ht="15" customHeight="1" x14ac:dyDescent="0.35">
      <c r="F3" s="22" t="s">
        <v>305</v>
      </c>
    </row>
    <row r="4" spans="1:29" ht="15" customHeight="1" x14ac:dyDescent="0.35">
      <c r="F4" s="5" t="s">
        <v>316</v>
      </c>
    </row>
    <row r="7" spans="1:29" ht="14.25" customHeight="1" x14ac:dyDescent="0.3">
      <c r="A7" s="1" t="s">
        <v>0</v>
      </c>
      <c r="B7" s="1" t="s">
        <v>1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6</v>
      </c>
      <c r="H7" s="1" t="s">
        <v>7</v>
      </c>
      <c r="I7" s="1" t="s">
        <v>8</v>
      </c>
      <c r="J7" s="1" t="s">
        <v>9</v>
      </c>
      <c r="M7" s="17" t="s">
        <v>9</v>
      </c>
      <c r="N7" s="18" t="s">
        <v>165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14.25" hidden="1" customHeight="1" x14ac:dyDescent="0.3">
      <c r="A8" s="2">
        <v>100</v>
      </c>
      <c r="B8" s="2" t="s">
        <v>10</v>
      </c>
      <c r="C8" s="2" t="s">
        <v>11</v>
      </c>
      <c r="D8" s="2" t="s">
        <v>12</v>
      </c>
      <c r="E8" s="2" t="s">
        <v>13</v>
      </c>
      <c r="F8" s="3">
        <v>31945</v>
      </c>
      <c r="G8" s="2">
        <v>4</v>
      </c>
      <c r="H8" s="2">
        <v>24000</v>
      </c>
      <c r="J8" s="2">
        <v>9</v>
      </c>
      <c r="M8">
        <f>INDEX(Table_departments[department_id],MATCH(Q18,Table_departments[department_name],0))</f>
        <v>8</v>
      </c>
      <c r="N8" s="10" t="s">
        <v>174</v>
      </c>
    </row>
    <row r="9" spans="1:29" ht="14.25" hidden="1" customHeight="1" x14ac:dyDescent="0.3">
      <c r="A9" s="2">
        <v>101</v>
      </c>
      <c r="B9" s="2" t="s">
        <v>14</v>
      </c>
      <c r="C9" s="2" t="s">
        <v>15</v>
      </c>
      <c r="D9" s="2" t="s">
        <v>16</v>
      </c>
      <c r="E9" s="2" t="s">
        <v>17</v>
      </c>
      <c r="F9" s="3">
        <v>32772</v>
      </c>
      <c r="G9" s="2">
        <v>5</v>
      </c>
      <c r="H9" s="2">
        <v>17000</v>
      </c>
      <c r="I9" s="2">
        <v>100</v>
      </c>
      <c r="J9" s="2">
        <v>9</v>
      </c>
    </row>
    <row r="10" spans="1:29" ht="14.4" hidden="1" x14ac:dyDescent="0.3">
      <c r="A10" s="2">
        <v>102</v>
      </c>
      <c r="B10" s="2" t="s">
        <v>18</v>
      </c>
      <c r="C10" s="2" t="s">
        <v>19</v>
      </c>
      <c r="D10" s="2" t="s">
        <v>20</v>
      </c>
      <c r="E10" s="2" t="s">
        <v>21</v>
      </c>
      <c r="F10" s="3">
        <v>33982</v>
      </c>
      <c r="G10" s="2">
        <v>5</v>
      </c>
      <c r="H10" s="2">
        <v>17000</v>
      </c>
      <c r="I10" s="2">
        <v>100</v>
      </c>
      <c r="J10" s="2">
        <v>9</v>
      </c>
      <c r="P10" t="s">
        <v>9</v>
      </c>
      <c r="Q10" t="s">
        <v>165</v>
      </c>
      <c r="R10" t="s">
        <v>166</v>
      </c>
      <c r="S10" s="1"/>
      <c r="T10" s="1"/>
      <c r="U10" s="1"/>
    </row>
    <row r="11" spans="1:29" ht="14.4" hidden="1" x14ac:dyDescent="0.3">
      <c r="A11" s="2">
        <v>103</v>
      </c>
      <c r="B11" s="2" t="s">
        <v>22</v>
      </c>
      <c r="C11" s="2" t="s">
        <v>23</v>
      </c>
      <c r="D11" s="2" t="s">
        <v>24</v>
      </c>
      <c r="E11" s="2" t="s">
        <v>25</v>
      </c>
      <c r="F11" s="3">
        <v>32876</v>
      </c>
      <c r="G11" s="2">
        <v>9</v>
      </c>
      <c r="H11" s="2">
        <v>9000</v>
      </c>
      <c r="I11" s="2">
        <v>102</v>
      </c>
      <c r="J11" s="2">
        <v>6</v>
      </c>
      <c r="P11">
        <v>1</v>
      </c>
      <c r="Q11" t="s">
        <v>167</v>
      </c>
      <c r="R11">
        <v>1700</v>
      </c>
    </row>
    <row r="12" spans="1:29" ht="14.4" hidden="1" x14ac:dyDescent="0.3">
      <c r="A12" s="2">
        <v>104</v>
      </c>
      <c r="B12" s="2" t="s">
        <v>26</v>
      </c>
      <c r="C12" s="2" t="s">
        <v>27</v>
      </c>
      <c r="D12" s="2" t="s">
        <v>28</v>
      </c>
      <c r="E12" s="2" t="s">
        <v>29</v>
      </c>
      <c r="F12" s="3">
        <v>33379</v>
      </c>
      <c r="G12" s="2">
        <v>9</v>
      </c>
      <c r="H12" s="2">
        <v>6000</v>
      </c>
      <c r="I12" s="2">
        <v>103</v>
      </c>
      <c r="J12" s="2">
        <v>6</v>
      </c>
      <c r="P12">
        <v>2</v>
      </c>
      <c r="Q12" t="s">
        <v>168</v>
      </c>
      <c r="R12">
        <v>1800</v>
      </c>
    </row>
    <row r="13" spans="1:29" ht="14.4" hidden="1" x14ac:dyDescent="0.3">
      <c r="A13" s="2">
        <v>105</v>
      </c>
      <c r="B13" s="2" t="s">
        <v>30</v>
      </c>
      <c r="C13" s="2" t="s">
        <v>31</v>
      </c>
      <c r="D13" s="2" t="s">
        <v>32</v>
      </c>
      <c r="E13" s="2" t="s">
        <v>33</v>
      </c>
      <c r="F13" s="3">
        <v>35606</v>
      </c>
      <c r="G13" s="2">
        <v>9</v>
      </c>
      <c r="H13" s="2">
        <v>4800</v>
      </c>
      <c r="I13" s="2">
        <v>103</v>
      </c>
      <c r="J13" s="2">
        <v>6</v>
      </c>
      <c r="P13">
        <v>3</v>
      </c>
      <c r="Q13" t="s">
        <v>169</v>
      </c>
      <c r="R13">
        <v>1700</v>
      </c>
    </row>
    <row r="14" spans="1:29" ht="14.4" hidden="1" x14ac:dyDescent="0.3">
      <c r="A14" s="2">
        <v>106</v>
      </c>
      <c r="B14" s="2" t="s">
        <v>34</v>
      </c>
      <c r="C14" s="2" t="s">
        <v>35</v>
      </c>
      <c r="D14" s="2" t="s">
        <v>36</v>
      </c>
      <c r="E14" s="2" t="s">
        <v>37</v>
      </c>
      <c r="F14" s="3">
        <v>35831</v>
      </c>
      <c r="G14" s="2">
        <v>9</v>
      </c>
      <c r="H14" s="2">
        <v>4800</v>
      </c>
      <c r="I14" s="2">
        <v>103</v>
      </c>
      <c r="J14" s="2">
        <v>6</v>
      </c>
      <c r="P14">
        <v>4</v>
      </c>
      <c r="Q14" t="s">
        <v>170</v>
      </c>
      <c r="R14">
        <v>2400</v>
      </c>
    </row>
    <row r="15" spans="1:29" ht="14.4" hidden="1" x14ac:dyDescent="0.3">
      <c r="A15" s="2">
        <v>107</v>
      </c>
      <c r="B15" s="2" t="s">
        <v>38</v>
      </c>
      <c r="C15" s="2" t="s">
        <v>39</v>
      </c>
      <c r="D15" s="2" t="s">
        <v>40</v>
      </c>
      <c r="E15" s="2" t="s">
        <v>41</v>
      </c>
      <c r="F15" s="3">
        <v>36198</v>
      </c>
      <c r="G15" s="2">
        <v>9</v>
      </c>
      <c r="H15" s="2">
        <v>4200</v>
      </c>
      <c r="I15" s="2">
        <v>103</v>
      </c>
      <c r="J15" s="2">
        <v>6</v>
      </c>
      <c r="P15">
        <v>5</v>
      </c>
      <c r="Q15" t="s">
        <v>171</v>
      </c>
      <c r="R15">
        <v>1500</v>
      </c>
    </row>
    <row r="16" spans="1:29" ht="14.4" hidden="1" x14ac:dyDescent="0.3">
      <c r="A16" s="2">
        <v>108</v>
      </c>
      <c r="B16" s="2" t="s">
        <v>42</v>
      </c>
      <c r="C16" s="2" t="s">
        <v>43</v>
      </c>
      <c r="D16" s="2" t="s">
        <v>44</v>
      </c>
      <c r="E16" s="2" t="s">
        <v>45</v>
      </c>
      <c r="F16" s="3">
        <v>34563</v>
      </c>
      <c r="G16" s="2">
        <v>7</v>
      </c>
      <c r="H16" s="2">
        <v>12000</v>
      </c>
      <c r="I16" s="2">
        <v>101</v>
      </c>
      <c r="J16" s="2">
        <v>10</v>
      </c>
      <c r="P16">
        <v>6</v>
      </c>
      <c r="Q16" t="s">
        <v>172</v>
      </c>
      <c r="R16">
        <v>1400</v>
      </c>
    </row>
    <row r="17" spans="1:18" ht="14.4" hidden="1" x14ac:dyDescent="0.3">
      <c r="A17" s="2">
        <v>109</v>
      </c>
      <c r="B17" s="2" t="s">
        <v>46</v>
      </c>
      <c r="C17" s="2" t="s">
        <v>47</v>
      </c>
      <c r="D17" s="2" t="s">
        <v>48</v>
      </c>
      <c r="E17" s="2" t="s">
        <v>49</v>
      </c>
      <c r="F17" s="3">
        <v>34562</v>
      </c>
      <c r="G17" s="2">
        <v>6</v>
      </c>
      <c r="H17" s="2">
        <v>9000</v>
      </c>
      <c r="I17" s="2">
        <v>108</v>
      </c>
      <c r="J17" s="2">
        <v>10</v>
      </c>
      <c r="P17">
        <v>7</v>
      </c>
      <c r="Q17" t="s">
        <v>173</v>
      </c>
      <c r="R17">
        <v>2700</v>
      </c>
    </row>
    <row r="18" spans="1:18" ht="14.4" hidden="1" x14ac:dyDescent="0.3">
      <c r="A18" s="2">
        <v>110</v>
      </c>
      <c r="B18" s="2" t="s">
        <v>50</v>
      </c>
      <c r="C18" s="2" t="s">
        <v>51</v>
      </c>
      <c r="D18" s="2" t="s">
        <v>52</v>
      </c>
      <c r="E18" s="2" t="s">
        <v>53</v>
      </c>
      <c r="F18" s="3">
        <v>35701</v>
      </c>
      <c r="G18" s="2">
        <v>6</v>
      </c>
      <c r="H18" s="2">
        <v>8200</v>
      </c>
      <c r="I18" s="2">
        <v>108</v>
      </c>
      <c r="J18" s="2">
        <v>10</v>
      </c>
      <c r="P18">
        <v>8</v>
      </c>
      <c r="Q18" t="s">
        <v>174</v>
      </c>
      <c r="R18">
        <v>2500</v>
      </c>
    </row>
    <row r="19" spans="1:18" ht="14.4" hidden="1" x14ac:dyDescent="0.3">
      <c r="A19" s="2">
        <v>111</v>
      </c>
      <c r="B19" s="2" t="s">
        <v>54</v>
      </c>
      <c r="C19" s="2" t="s">
        <v>55</v>
      </c>
      <c r="D19" s="2" t="s">
        <v>56</v>
      </c>
      <c r="E19" s="2" t="s">
        <v>57</v>
      </c>
      <c r="F19" s="3">
        <v>35703</v>
      </c>
      <c r="G19" s="2">
        <v>6</v>
      </c>
      <c r="H19" s="2">
        <v>7700</v>
      </c>
      <c r="I19" s="2">
        <v>108</v>
      </c>
      <c r="J19" s="2">
        <v>10</v>
      </c>
      <c r="P19">
        <v>9</v>
      </c>
      <c r="Q19" t="s">
        <v>175</v>
      </c>
      <c r="R19">
        <v>1700</v>
      </c>
    </row>
    <row r="20" spans="1:18" ht="14.4" hidden="1" x14ac:dyDescent="0.3">
      <c r="A20" s="2">
        <v>112</v>
      </c>
      <c r="B20" s="2" t="s">
        <v>58</v>
      </c>
      <c r="C20" s="2" t="s">
        <v>59</v>
      </c>
      <c r="D20" s="2" t="s">
        <v>60</v>
      </c>
      <c r="E20" s="2" t="s">
        <v>61</v>
      </c>
      <c r="F20" s="3">
        <v>35861</v>
      </c>
      <c r="G20" s="2">
        <v>6</v>
      </c>
      <c r="H20" s="2">
        <v>7800</v>
      </c>
      <c r="I20" s="2">
        <v>108</v>
      </c>
      <c r="J20" s="2">
        <v>10</v>
      </c>
      <c r="P20">
        <v>10</v>
      </c>
      <c r="Q20" t="s">
        <v>176</v>
      </c>
      <c r="R20">
        <v>1700</v>
      </c>
    </row>
    <row r="21" spans="1:18" ht="14.4" hidden="1" x14ac:dyDescent="0.3">
      <c r="A21" s="2">
        <v>113</v>
      </c>
      <c r="B21" s="2" t="s">
        <v>62</v>
      </c>
      <c r="C21" s="2" t="s">
        <v>63</v>
      </c>
      <c r="D21" s="2" t="s">
        <v>64</v>
      </c>
      <c r="E21" s="2" t="s">
        <v>65</v>
      </c>
      <c r="F21" s="3">
        <v>36501</v>
      </c>
      <c r="G21" s="2">
        <v>6</v>
      </c>
      <c r="H21" s="2">
        <v>6900</v>
      </c>
      <c r="I21" s="2">
        <v>108</v>
      </c>
      <c r="J21" s="2">
        <v>10</v>
      </c>
      <c r="P21">
        <v>11</v>
      </c>
      <c r="Q21" t="s">
        <v>177</v>
      </c>
      <c r="R21">
        <v>1700</v>
      </c>
    </row>
    <row r="22" spans="1:18" ht="14.25" hidden="1" customHeight="1" x14ac:dyDescent="0.3">
      <c r="A22" s="2">
        <v>114</v>
      </c>
      <c r="B22" s="2" t="s">
        <v>66</v>
      </c>
      <c r="C22" s="2" t="s">
        <v>67</v>
      </c>
      <c r="D22" s="2" t="s">
        <v>68</v>
      </c>
      <c r="E22" s="2" t="s">
        <v>69</v>
      </c>
      <c r="F22" s="3">
        <v>34675</v>
      </c>
      <c r="G22" s="2">
        <v>14</v>
      </c>
      <c r="H22" s="2">
        <v>11000</v>
      </c>
      <c r="I22" s="2">
        <v>100</v>
      </c>
      <c r="J22" s="2">
        <v>3</v>
      </c>
    </row>
    <row r="23" spans="1:18" ht="14.25" hidden="1" customHeight="1" x14ac:dyDescent="0.3">
      <c r="A23" s="2">
        <v>115</v>
      </c>
      <c r="B23" s="2" t="s">
        <v>22</v>
      </c>
      <c r="C23" s="2" t="s">
        <v>70</v>
      </c>
      <c r="D23" s="2" t="s">
        <v>71</v>
      </c>
      <c r="E23" s="2" t="s">
        <v>72</v>
      </c>
      <c r="F23" s="3">
        <v>34837</v>
      </c>
      <c r="G23" s="2">
        <v>13</v>
      </c>
      <c r="H23" s="2">
        <v>3100</v>
      </c>
      <c r="I23" s="2">
        <v>114</v>
      </c>
      <c r="J23" s="2">
        <v>3</v>
      </c>
    </row>
    <row r="24" spans="1:18" ht="14.25" hidden="1" customHeight="1" x14ac:dyDescent="0.3">
      <c r="A24" s="2">
        <v>116</v>
      </c>
      <c r="B24" s="2" t="s">
        <v>73</v>
      </c>
      <c r="C24" s="2" t="s">
        <v>74</v>
      </c>
      <c r="D24" s="2" t="s">
        <v>75</v>
      </c>
      <c r="E24" s="2" t="s">
        <v>76</v>
      </c>
      <c r="F24" s="3">
        <v>35788</v>
      </c>
      <c r="G24" s="2">
        <v>13</v>
      </c>
      <c r="H24" s="2">
        <v>2900</v>
      </c>
      <c r="I24" s="2">
        <v>114</v>
      </c>
      <c r="J24" s="2">
        <v>3</v>
      </c>
    </row>
    <row r="25" spans="1:18" ht="14.25" hidden="1" customHeight="1" x14ac:dyDescent="0.3">
      <c r="A25" s="2">
        <v>117</v>
      </c>
      <c r="B25" s="2" t="s">
        <v>77</v>
      </c>
      <c r="C25" s="2" t="s">
        <v>78</v>
      </c>
      <c r="D25" s="2" t="s">
        <v>79</v>
      </c>
      <c r="E25" s="2" t="s">
        <v>80</v>
      </c>
      <c r="F25" s="3">
        <v>35635</v>
      </c>
      <c r="G25" s="2">
        <v>13</v>
      </c>
      <c r="H25" s="2">
        <v>2800</v>
      </c>
      <c r="I25" s="2">
        <v>114</v>
      </c>
      <c r="J25" s="2">
        <v>3</v>
      </c>
    </row>
    <row r="26" spans="1:18" ht="14.25" hidden="1" customHeight="1" x14ac:dyDescent="0.3">
      <c r="A26" s="2">
        <v>118</v>
      </c>
      <c r="B26" s="2" t="s">
        <v>81</v>
      </c>
      <c r="C26" s="2" t="s">
        <v>82</v>
      </c>
      <c r="D26" s="2" t="s">
        <v>83</v>
      </c>
      <c r="E26" s="2" t="s">
        <v>84</v>
      </c>
      <c r="F26" s="3">
        <v>36114</v>
      </c>
      <c r="G26" s="2">
        <v>13</v>
      </c>
      <c r="H26" s="2">
        <v>2600</v>
      </c>
      <c r="I26" s="2">
        <v>114</v>
      </c>
      <c r="J26" s="2">
        <v>3</v>
      </c>
    </row>
    <row r="27" spans="1:18" ht="14.25" hidden="1" customHeight="1" x14ac:dyDescent="0.3">
      <c r="A27" s="2">
        <v>119</v>
      </c>
      <c r="B27" s="2" t="s">
        <v>85</v>
      </c>
      <c r="C27" s="2" t="s">
        <v>86</v>
      </c>
      <c r="D27" s="2" t="s">
        <v>87</v>
      </c>
      <c r="E27" s="2" t="s">
        <v>88</v>
      </c>
      <c r="F27" s="3">
        <v>36382</v>
      </c>
      <c r="G27" s="2">
        <v>13</v>
      </c>
      <c r="H27" s="2">
        <v>2500</v>
      </c>
      <c r="I27" s="2">
        <v>114</v>
      </c>
      <c r="J27" s="2">
        <v>3</v>
      </c>
    </row>
    <row r="28" spans="1:18" ht="14.25" hidden="1" customHeight="1" x14ac:dyDescent="0.3">
      <c r="A28" s="2">
        <v>120</v>
      </c>
      <c r="B28" s="2" t="s">
        <v>89</v>
      </c>
      <c r="C28" s="2" t="s">
        <v>90</v>
      </c>
      <c r="D28" s="2" t="s">
        <v>91</v>
      </c>
      <c r="E28" s="2" t="s">
        <v>92</v>
      </c>
      <c r="F28" s="3">
        <v>35264</v>
      </c>
      <c r="G28" s="2">
        <v>19</v>
      </c>
      <c r="H28" s="2">
        <v>8000</v>
      </c>
      <c r="I28" s="2">
        <v>100</v>
      </c>
      <c r="J28" s="2">
        <v>5</v>
      </c>
    </row>
    <row r="29" spans="1:18" ht="14.25" hidden="1" customHeight="1" x14ac:dyDescent="0.3">
      <c r="A29" s="2">
        <v>121</v>
      </c>
      <c r="B29" s="2" t="s">
        <v>93</v>
      </c>
      <c r="C29" s="2" t="s">
        <v>94</v>
      </c>
      <c r="D29" s="2" t="s">
        <v>95</v>
      </c>
      <c r="E29" s="2" t="s">
        <v>96</v>
      </c>
      <c r="F29" s="3">
        <v>35530</v>
      </c>
      <c r="G29" s="2">
        <v>19</v>
      </c>
      <c r="H29" s="2">
        <v>8200</v>
      </c>
      <c r="I29" s="2">
        <v>100</v>
      </c>
      <c r="J29" s="2">
        <v>5</v>
      </c>
    </row>
    <row r="30" spans="1:18" ht="14.25" hidden="1" customHeight="1" x14ac:dyDescent="0.3">
      <c r="A30" s="2">
        <v>122</v>
      </c>
      <c r="B30" s="2" t="s">
        <v>97</v>
      </c>
      <c r="C30" s="2" t="s">
        <v>98</v>
      </c>
      <c r="D30" s="2" t="s">
        <v>99</v>
      </c>
      <c r="E30" s="2" t="s">
        <v>100</v>
      </c>
      <c r="F30" s="3">
        <v>34820</v>
      </c>
      <c r="G30" s="2">
        <v>19</v>
      </c>
      <c r="H30" s="2">
        <v>7900</v>
      </c>
      <c r="I30" s="2">
        <v>100</v>
      </c>
      <c r="J30" s="2">
        <v>5</v>
      </c>
    </row>
    <row r="31" spans="1:18" ht="14.25" hidden="1" customHeight="1" x14ac:dyDescent="0.3">
      <c r="A31" s="2">
        <v>123</v>
      </c>
      <c r="B31" s="2" t="s">
        <v>101</v>
      </c>
      <c r="C31" s="2" t="s">
        <v>102</v>
      </c>
      <c r="D31" s="2" t="s">
        <v>103</v>
      </c>
      <c r="E31" s="2" t="s">
        <v>104</v>
      </c>
      <c r="F31" s="3">
        <v>35713</v>
      </c>
      <c r="G31" s="2">
        <v>19</v>
      </c>
      <c r="H31" s="2">
        <v>6500</v>
      </c>
      <c r="I31" s="2">
        <v>100</v>
      </c>
      <c r="J31" s="2">
        <v>5</v>
      </c>
    </row>
    <row r="32" spans="1:18" ht="14.25" hidden="1" customHeight="1" x14ac:dyDescent="0.3">
      <c r="A32" s="2">
        <v>126</v>
      </c>
      <c r="B32" s="2" t="s">
        <v>105</v>
      </c>
      <c r="C32" s="2" t="s">
        <v>106</v>
      </c>
      <c r="D32" s="2" t="s">
        <v>107</v>
      </c>
      <c r="E32" s="2" t="s">
        <v>108</v>
      </c>
      <c r="F32" s="3">
        <v>36066</v>
      </c>
      <c r="G32" s="2">
        <v>18</v>
      </c>
      <c r="H32" s="2">
        <v>2700</v>
      </c>
      <c r="I32" s="2">
        <v>120</v>
      </c>
      <c r="J32" s="2">
        <v>5</v>
      </c>
    </row>
    <row r="33" spans="1:10" ht="14.25" customHeight="1" x14ac:dyDescent="0.3">
      <c r="A33" s="2">
        <v>145</v>
      </c>
      <c r="B33" s="2" t="s">
        <v>50</v>
      </c>
      <c r="C33" s="2" t="s">
        <v>109</v>
      </c>
      <c r="D33" s="2" t="s">
        <v>110</v>
      </c>
      <c r="F33" s="3">
        <v>35339</v>
      </c>
      <c r="G33" s="2">
        <v>15</v>
      </c>
      <c r="H33" s="2">
        <v>14000</v>
      </c>
      <c r="I33" s="2">
        <v>100</v>
      </c>
      <c r="J33" s="2">
        <v>8</v>
      </c>
    </row>
    <row r="34" spans="1:10" ht="14.25" customHeight="1" x14ac:dyDescent="0.3">
      <c r="A34" s="2">
        <v>146</v>
      </c>
      <c r="B34" s="2" t="s">
        <v>85</v>
      </c>
      <c r="C34" s="2" t="s">
        <v>111</v>
      </c>
      <c r="D34" s="2" t="s">
        <v>112</v>
      </c>
      <c r="F34" s="3">
        <v>35435</v>
      </c>
      <c r="G34" s="2">
        <v>15</v>
      </c>
      <c r="H34" s="2">
        <v>13500</v>
      </c>
      <c r="I34" s="2">
        <v>100</v>
      </c>
      <c r="J34" s="2">
        <v>8</v>
      </c>
    </row>
    <row r="35" spans="1:10" ht="14.25" customHeight="1" x14ac:dyDescent="0.3">
      <c r="A35" s="2">
        <v>176</v>
      </c>
      <c r="B35" s="2" t="s">
        <v>113</v>
      </c>
      <c r="C35" s="2" t="s">
        <v>114</v>
      </c>
      <c r="D35" s="2" t="s">
        <v>115</v>
      </c>
      <c r="F35" s="3">
        <v>35878</v>
      </c>
      <c r="G35" s="2">
        <v>16</v>
      </c>
      <c r="H35" s="2">
        <v>8600</v>
      </c>
      <c r="I35" s="2">
        <v>100</v>
      </c>
      <c r="J35" s="2">
        <v>8</v>
      </c>
    </row>
    <row r="36" spans="1:10" ht="14.25" customHeight="1" x14ac:dyDescent="0.3">
      <c r="A36" s="2">
        <v>177</v>
      </c>
      <c r="B36" s="2" t="s">
        <v>116</v>
      </c>
      <c r="C36" s="2" t="s">
        <v>117</v>
      </c>
      <c r="D36" s="2" t="s">
        <v>118</v>
      </c>
      <c r="F36" s="3">
        <v>35908</v>
      </c>
      <c r="G36" s="2">
        <v>16</v>
      </c>
      <c r="H36" s="2">
        <v>8400</v>
      </c>
      <c r="I36" s="2">
        <v>100</v>
      </c>
      <c r="J36" s="2">
        <v>8</v>
      </c>
    </row>
    <row r="37" spans="1:10" ht="14.25" customHeight="1" x14ac:dyDescent="0.3">
      <c r="A37" s="2">
        <v>178</v>
      </c>
      <c r="B37" s="2" t="s">
        <v>119</v>
      </c>
      <c r="C37" s="2" t="s">
        <v>120</v>
      </c>
      <c r="D37" s="2" t="s">
        <v>121</v>
      </c>
      <c r="F37" s="3">
        <v>36304</v>
      </c>
      <c r="G37" s="2">
        <v>16</v>
      </c>
      <c r="H37" s="2">
        <v>7000</v>
      </c>
      <c r="I37" s="2">
        <v>100</v>
      </c>
      <c r="J37" s="2">
        <v>8</v>
      </c>
    </row>
    <row r="38" spans="1:10" ht="14.25" customHeight="1" x14ac:dyDescent="0.3">
      <c r="A38" s="2">
        <v>179</v>
      </c>
      <c r="B38" s="2" t="s">
        <v>122</v>
      </c>
      <c r="C38" s="2" t="s">
        <v>123</v>
      </c>
      <c r="D38" s="2" t="s">
        <v>124</v>
      </c>
      <c r="F38" s="3">
        <v>36529</v>
      </c>
      <c r="G38" s="2">
        <v>16</v>
      </c>
      <c r="H38" s="2">
        <v>6200</v>
      </c>
      <c r="I38" s="2">
        <v>100</v>
      </c>
      <c r="J38" s="2">
        <v>8</v>
      </c>
    </row>
    <row r="39" spans="1:10" ht="14.25" hidden="1" customHeight="1" x14ac:dyDescent="0.3">
      <c r="A39" s="2">
        <v>192</v>
      </c>
      <c r="B39" s="2" t="s">
        <v>125</v>
      </c>
      <c r="C39" s="2" t="s">
        <v>126</v>
      </c>
      <c r="D39" s="2" t="s">
        <v>127</v>
      </c>
      <c r="E39" s="2" t="s">
        <v>128</v>
      </c>
      <c r="F39" s="3">
        <v>35099</v>
      </c>
      <c r="G39" s="2">
        <v>17</v>
      </c>
      <c r="H39" s="2">
        <v>4000</v>
      </c>
      <c r="I39" s="2">
        <v>123</v>
      </c>
      <c r="J39" s="2">
        <v>5</v>
      </c>
    </row>
    <row r="40" spans="1:10" ht="14.25" hidden="1" customHeight="1" x14ac:dyDescent="0.3">
      <c r="A40" s="2">
        <v>193</v>
      </c>
      <c r="B40" s="2" t="s">
        <v>129</v>
      </c>
      <c r="C40" s="2" t="s">
        <v>130</v>
      </c>
      <c r="D40" s="2" t="s">
        <v>131</v>
      </c>
      <c r="E40" s="2" t="s">
        <v>132</v>
      </c>
      <c r="F40" s="3">
        <v>35492</v>
      </c>
      <c r="G40" s="2">
        <v>17</v>
      </c>
      <c r="H40" s="2">
        <v>3900</v>
      </c>
      <c r="I40" s="2">
        <v>123</v>
      </c>
      <c r="J40" s="2">
        <v>5</v>
      </c>
    </row>
    <row r="41" spans="1:10" ht="14.25" hidden="1" customHeight="1" x14ac:dyDescent="0.3">
      <c r="A41" s="2">
        <v>200</v>
      </c>
      <c r="B41" s="2" t="s">
        <v>133</v>
      </c>
      <c r="C41" s="2" t="s">
        <v>134</v>
      </c>
      <c r="D41" s="2" t="s">
        <v>135</v>
      </c>
      <c r="E41" s="2" t="s">
        <v>136</v>
      </c>
      <c r="F41" s="3">
        <v>32037</v>
      </c>
      <c r="G41" s="2">
        <v>3</v>
      </c>
      <c r="H41" s="2">
        <v>4400</v>
      </c>
      <c r="I41" s="2">
        <v>101</v>
      </c>
      <c r="J41" s="2">
        <v>1</v>
      </c>
    </row>
    <row r="42" spans="1:10" ht="14.25" hidden="1" customHeight="1" x14ac:dyDescent="0.3">
      <c r="A42" s="2">
        <v>201</v>
      </c>
      <c r="B42" s="2" t="s">
        <v>137</v>
      </c>
      <c r="C42" s="2" t="s">
        <v>138</v>
      </c>
      <c r="D42" s="2" t="s">
        <v>139</v>
      </c>
      <c r="E42" s="2" t="s">
        <v>140</v>
      </c>
      <c r="F42" s="3">
        <v>35112</v>
      </c>
      <c r="G42" s="2">
        <v>10</v>
      </c>
      <c r="H42" s="2">
        <v>13000</v>
      </c>
      <c r="I42" s="2">
        <v>100</v>
      </c>
      <c r="J42" s="2">
        <v>2</v>
      </c>
    </row>
    <row r="43" spans="1:10" ht="14.25" hidden="1" customHeight="1" x14ac:dyDescent="0.3">
      <c r="A43" s="2">
        <v>202</v>
      </c>
      <c r="B43" s="2" t="s">
        <v>141</v>
      </c>
      <c r="C43" s="2" t="s">
        <v>142</v>
      </c>
      <c r="D43" s="2" t="s">
        <v>143</v>
      </c>
      <c r="E43" s="2" t="s">
        <v>144</v>
      </c>
      <c r="F43" s="3">
        <v>35659</v>
      </c>
      <c r="G43" s="2">
        <v>11</v>
      </c>
      <c r="H43" s="2">
        <v>6000</v>
      </c>
      <c r="I43" s="2">
        <v>201</v>
      </c>
      <c r="J43" s="2">
        <v>2</v>
      </c>
    </row>
    <row r="44" spans="1:10" ht="14.25" hidden="1" customHeight="1" x14ac:dyDescent="0.3">
      <c r="A44" s="2">
        <v>203</v>
      </c>
      <c r="B44" s="2" t="s">
        <v>145</v>
      </c>
      <c r="C44" s="2" t="s">
        <v>146</v>
      </c>
      <c r="D44" s="2" t="s">
        <v>147</v>
      </c>
      <c r="E44" s="2" t="s">
        <v>148</v>
      </c>
      <c r="F44" s="3">
        <v>34492</v>
      </c>
      <c r="G44" s="2">
        <v>8</v>
      </c>
      <c r="H44" s="2">
        <v>6500</v>
      </c>
      <c r="I44" s="2">
        <v>101</v>
      </c>
      <c r="J44" s="2">
        <v>4</v>
      </c>
    </row>
    <row r="45" spans="1:10" ht="14.25" hidden="1" customHeight="1" x14ac:dyDescent="0.3">
      <c r="A45" s="2">
        <v>204</v>
      </c>
      <c r="B45" s="2" t="s">
        <v>149</v>
      </c>
      <c r="C45" s="2" t="s">
        <v>150</v>
      </c>
      <c r="D45" s="2" t="s">
        <v>151</v>
      </c>
      <c r="E45" s="2" t="s">
        <v>152</v>
      </c>
      <c r="F45" s="3">
        <v>34492</v>
      </c>
      <c r="G45" s="2">
        <v>12</v>
      </c>
      <c r="H45" s="2">
        <v>10000</v>
      </c>
      <c r="I45" s="2">
        <v>101</v>
      </c>
      <c r="J45" s="2">
        <v>7</v>
      </c>
    </row>
    <row r="46" spans="1:10" ht="14.25" hidden="1" customHeight="1" x14ac:dyDescent="0.3">
      <c r="A46" s="2">
        <v>205</v>
      </c>
      <c r="B46" s="2" t="s">
        <v>153</v>
      </c>
      <c r="C46" s="2" t="s">
        <v>154</v>
      </c>
      <c r="D46" s="2" t="s">
        <v>155</v>
      </c>
      <c r="E46" s="2" t="s">
        <v>156</v>
      </c>
      <c r="F46" s="3">
        <v>34492</v>
      </c>
      <c r="G46" s="2">
        <v>2</v>
      </c>
      <c r="H46" s="2">
        <v>12000</v>
      </c>
      <c r="I46" s="2">
        <v>101</v>
      </c>
      <c r="J46" s="2">
        <v>11</v>
      </c>
    </row>
    <row r="47" spans="1:10" ht="14.25" hidden="1" customHeight="1" x14ac:dyDescent="0.3">
      <c r="A47" s="2">
        <v>206</v>
      </c>
      <c r="B47" s="2" t="s">
        <v>157</v>
      </c>
      <c r="C47" s="2" t="s">
        <v>158</v>
      </c>
      <c r="D47" s="2" t="s">
        <v>159</v>
      </c>
      <c r="E47" s="2" t="s">
        <v>160</v>
      </c>
      <c r="F47" s="3">
        <v>34492</v>
      </c>
      <c r="G47" s="2">
        <v>1</v>
      </c>
      <c r="H47" s="2">
        <v>8300</v>
      </c>
      <c r="I47" s="2">
        <v>205</v>
      </c>
      <c r="J47" s="2">
        <v>11</v>
      </c>
    </row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pageMargins left="0.7" right="0.7" top="0.75" bottom="0.75" header="0" footer="0"/>
  <pageSetup orientation="landscape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8A5-9D06-46F1-96B7-0090C1529217}">
  <sheetPr codeName="Sheet1"/>
  <dimension ref="A1:Z1007"/>
  <sheetViews>
    <sheetView workbookViewId="0">
      <selection activeCell="A49" sqref="A49:J49"/>
    </sheetView>
  </sheetViews>
  <sheetFormatPr defaultColWidth="12.6640625" defaultRowHeight="15" customHeight="1" x14ac:dyDescent="0.3"/>
  <cols>
    <col min="1" max="1" width="11.6640625" bestFit="1" customWidth="1"/>
    <col min="2" max="2" width="10.77734375" bestFit="1" customWidth="1"/>
    <col min="3" max="3" width="72.6640625" bestFit="1" customWidth="1"/>
    <col min="4" max="4" width="29.88671875" customWidth="1"/>
    <col min="5" max="5" width="13.44140625" bestFit="1" customWidth="1"/>
    <col min="6" max="6" width="10.33203125" bestFit="1" customWidth="1"/>
    <col min="7" max="7" width="6.109375" bestFit="1" customWidth="1"/>
    <col min="8" max="8" width="8.6640625" customWidth="1"/>
    <col min="9" max="9" width="10.6640625" bestFit="1" customWidth="1"/>
    <col min="10" max="10" width="13.44140625" bestFit="1" customWidth="1"/>
    <col min="11" max="26" width="8.6640625" customWidth="1"/>
  </cols>
  <sheetData>
    <row r="1" spans="1:26" ht="15" customHeight="1" x14ac:dyDescent="0.3">
      <c r="C1" s="10" t="s">
        <v>306</v>
      </c>
    </row>
    <row r="4" spans="1:26" ht="15" customHeight="1" x14ac:dyDescent="0.3">
      <c r="C4" s="14"/>
      <c r="D4" s="14"/>
      <c r="E4" s="14"/>
      <c r="F4" s="14"/>
      <c r="G4" s="14"/>
      <c r="H4" s="23"/>
      <c r="I4" s="14"/>
      <c r="J4" s="14"/>
      <c r="K4" s="14"/>
      <c r="L4" s="14"/>
    </row>
    <row r="7" spans="1:26" ht="14.25" customHeight="1" x14ac:dyDescent="0.3">
      <c r="A7" s="12" t="s">
        <v>0</v>
      </c>
      <c r="B7" s="12" t="s">
        <v>1</v>
      </c>
      <c r="C7" s="12" t="s">
        <v>2</v>
      </c>
      <c r="D7" s="12" t="s">
        <v>3</v>
      </c>
      <c r="E7" s="12" t="s">
        <v>4</v>
      </c>
      <c r="F7" s="12" t="s">
        <v>5</v>
      </c>
      <c r="G7" s="12" t="s">
        <v>6</v>
      </c>
      <c r="H7" s="12" t="s">
        <v>7</v>
      </c>
      <c r="I7" s="12" t="s">
        <v>8</v>
      </c>
      <c r="J7" s="12" t="s">
        <v>9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7">
        <v>100</v>
      </c>
      <c r="B8" s="7" t="s">
        <v>10</v>
      </c>
      <c r="C8" s="7" t="s">
        <v>11</v>
      </c>
      <c r="D8" s="7" t="s">
        <v>12</v>
      </c>
      <c r="E8" s="7" t="s">
        <v>13</v>
      </c>
      <c r="F8" s="8">
        <v>31945</v>
      </c>
      <c r="G8" s="7">
        <v>4</v>
      </c>
      <c r="H8" s="7">
        <v>24000</v>
      </c>
      <c r="I8" s="9"/>
      <c r="J8" s="7">
        <v>9</v>
      </c>
    </row>
    <row r="9" spans="1:26" ht="14.25" customHeight="1" x14ac:dyDescent="0.3">
      <c r="A9" s="7">
        <v>101</v>
      </c>
      <c r="B9" s="7" t="s">
        <v>14</v>
      </c>
      <c r="C9" s="7" t="s">
        <v>15</v>
      </c>
      <c r="D9" s="7" t="s">
        <v>16</v>
      </c>
      <c r="E9" s="7" t="s">
        <v>17</v>
      </c>
      <c r="F9" s="8">
        <v>32772</v>
      </c>
      <c r="G9" s="7">
        <v>5</v>
      </c>
      <c r="H9" s="7">
        <v>17000</v>
      </c>
      <c r="I9" s="7">
        <v>100</v>
      </c>
      <c r="J9" s="7">
        <v>9</v>
      </c>
    </row>
    <row r="10" spans="1:26" ht="14.25" customHeight="1" x14ac:dyDescent="0.3">
      <c r="A10" s="7">
        <v>102</v>
      </c>
      <c r="B10" s="7" t="s">
        <v>18</v>
      </c>
      <c r="C10" s="7" t="s">
        <v>19</v>
      </c>
      <c r="D10" s="7" t="s">
        <v>20</v>
      </c>
      <c r="E10" s="7" t="s">
        <v>21</v>
      </c>
      <c r="F10" s="8">
        <v>33982</v>
      </c>
      <c r="G10" s="7">
        <v>5</v>
      </c>
      <c r="H10" s="7">
        <v>17000</v>
      </c>
      <c r="I10" s="7">
        <v>100</v>
      </c>
      <c r="J10" s="7">
        <v>9</v>
      </c>
    </row>
    <row r="11" spans="1:26" ht="14.25" customHeight="1" x14ac:dyDescent="0.3">
      <c r="A11" s="7">
        <v>103</v>
      </c>
      <c r="B11" s="7" t="s">
        <v>22</v>
      </c>
      <c r="C11" s="7" t="s">
        <v>23</v>
      </c>
      <c r="D11" s="7" t="s">
        <v>24</v>
      </c>
      <c r="E11" s="7" t="s">
        <v>25</v>
      </c>
      <c r="F11" s="8">
        <v>32876</v>
      </c>
      <c r="G11" s="7">
        <v>9</v>
      </c>
      <c r="H11" s="7">
        <v>9000</v>
      </c>
      <c r="I11" s="7">
        <v>102</v>
      </c>
      <c r="J11" s="7">
        <v>6</v>
      </c>
    </row>
    <row r="12" spans="1:26" ht="14.25" customHeight="1" x14ac:dyDescent="0.3">
      <c r="A12" s="7">
        <v>104</v>
      </c>
      <c r="B12" s="7" t="s">
        <v>26</v>
      </c>
      <c r="C12" s="7" t="s">
        <v>27</v>
      </c>
      <c r="D12" s="7" t="s">
        <v>28</v>
      </c>
      <c r="E12" s="7" t="s">
        <v>29</v>
      </c>
      <c r="F12" s="8">
        <v>33379</v>
      </c>
      <c r="G12" s="7">
        <v>9</v>
      </c>
      <c r="H12" s="7">
        <v>6000</v>
      </c>
      <c r="I12" s="7">
        <v>103</v>
      </c>
      <c r="J12" s="7">
        <v>6</v>
      </c>
    </row>
    <row r="13" spans="1:26" ht="14.25" customHeight="1" x14ac:dyDescent="0.3">
      <c r="A13" s="7">
        <v>105</v>
      </c>
      <c r="B13" s="7" t="s">
        <v>30</v>
      </c>
      <c r="C13" s="7" t="s">
        <v>31</v>
      </c>
      <c r="D13" s="7" t="s">
        <v>32</v>
      </c>
      <c r="E13" s="7" t="s">
        <v>33</v>
      </c>
      <c r="F13" s="8">
        <v>35606</v>
      </c>
      <c r="G13" s="7">
        <v>9</v>
      </c>
      <c r="H13" s="7">
        <v>4800</v>
      </c>
      <c r="I13" s="7">
        <v>103</v>
      </c>
      <c r="J13" s="7">
        <v>6</v>
      </c>
    </row>
    <row r="14" spans="1:26" ht="14.25" customHeight="1" x14ac:dyDescent="0.3">
      <c r="A14" s="7">
        <v>106</v>
      </c>
      <c r="B14" s="7" t="s">
        <v>34</v>
      </c>
      <c r="C14" s="7" t="s">
        <v>35</v>
      </c>
      <c r="D14" s="7" t="s">
        <v>36</v>
      </c>
      <c r="E14" s="7" t="s">
        <v>37</v>
      </c>
      <c r="F14" s="8">
        <v>35831</v>
      </c>
      <c r="G14" s="7">
        <v>9</v>
      </c>
      <c r="H14" s="7">
        <v>4800</v>
      </c>
      <c r="I14" s="7">
        <v>103</v>
      </c>
      <c r="J14" s="7">
        <v>6</v>
      </c>
    </row>
    <row r="15" spans="1:26" ht="14.25" customHeight="1" x14ac:dyDescent="0.3">
      <c r="A15" s="7">
        <v>107</v>
      </c>
      <c r="B15" s="7" t="s">
        <v>38</v>
      </c>
      <c r="C15" s="7" t="s">
        <v>39</v>
      </c>
      <c r="D15" s="7" t="s">
        <v>40</v>
      </c>
      <c r="E15" s="7" t="s">
        <v>41</v>
      </c>
      <c r="F15" s="8">
        <v>36198</v>
      </c>
      <c r="G15" s="7">
        <v>9</v>
      </c>
      <c r="H15" s="7">
        <v>4200</v>
      </c>
      <c r="I15" s="7">
        <v>103</v>
      </c>
      <c r="J15" s="7">
        <v>6</v>
      </c>
    </row>
    <row r="16" spans="1:26" ht="14.25" customHeight="1" x14ac:dyDescent="0.3">
      <c r="A16" s="7">
        <v>108</v>
      </c>
      <c r="B16" s="7" t="s">
        <v>42</v>
      </c>
      <c r="C16" s="7" t="s">
        <v>43</v>
      </c>
      <c r="D16" s="7" t="s">
        <v>44</v>
      </c>
      <c r="E16" s="7" t="s">
        <v>45</v>
      </c>
      <c r="F16" s="8">
        <v>34563</v>
      </c>
      <c r="G16" s="7">
        <v>7</v>
      </c>
      <c r="H16" s="7">
        <v>12000</v>
      </c>
      <c r="I16" s="7">
        <v>101</v>
      </c>
      <c r="J16" s="7">
        <v>10</v>
      </c>
    </row>
    <row r="17" spans="1:10" ht="14.25" customHeight="1" x14ac:dyDescent="0.3">
      <c r="A17" s="7">
        <v>109</v>
      </c>
      <c r="B17" s="7" t="s">
        <v>46</v>
      </c>
      <c r="C17" s="7" t="s">
        <v>47</v>
      </c>
      <c r="D17" s="7" t="s">
        <v>48</v>
      </c>
      <c r="E17" s="7" t="s">
        <v>49</v>
      </c>
      <c r="F17" s="8">
        <v>34562</v>
      </c>
      <c r="G17" s="7">
        <v>6</v>
      </c>
      <c r="H17" s="7">
        <v>9000</v>
      </c>
      <c r="I17" s="7">
        <v>108</v>
      </c>
      <c r="J17" s="7">
        <v>10</v>
      </c>
    </row>
    <row r="18" spans="1:10" ht="14.25" customHeight="1" x14ac:dyDescent="0.3">
      <c r="A18" s="7">
        <v>110</v>
      </c>
      <c r="B18" s="7" t="s">
        <v>50</v>
      </c>
      <c r="C18" s="7" t="s">
        <v>51</v>
      </c>
      <c r="D18" s="7" t="s">
        <v>52</v>
      </c>
      <c r="E18" s="7" t="s">
        <v>53</v>
      </c>
      <c r="F18" s="8">
        <v>35701</v>
      </c>
      <c r="G18" s="7">
        <v>6</v>
      </c>
      <c r="H18" s="7">
        <v>8200</v>
      </c>
      <c r="I18" s="7">
        <v>108</v>
      </c>
      <c r="J18" s="7">
        <v>10</v>
      </c>
    </row>
    <row r="19" spans="1:10" ht="14.25" customHeight="1" x14ac:dyDescent="0.3">
      <c r="A19" s="7">
        <v>111</v>
      </c>
      <c r="B19" s="7" t="s">
        <v>54</v>
      </c>
      <c r="C19" s="7" t="s">
        <v>55</v>
      </c>
      <c r="D19" s="7" t="s">
        <v>56</v>
      </c>
      <c r="E19" s="7" t="s">
        <v>57</v>
      </c>
      <c r="F19" s="8">
        <v>35703</v>
      </c>
      <c r="G19" s="7">
        <v>6</v>
      </c>
      <c r="H19" s="7">
        <v>7700</v>
      </c>
      <c r="I19" s="7">
        <v>108</v>
      </c>
      <c r="J19" s="7">
        <v>10</v>
      </c>
    </row>
    <row r="20" spans="1:10" ht="14.25" customHeight="1" x14ac:dyDescent="0.3">
      <c r="A20" s="7">
        <v>112</v>
      </c>
      <c r="B20" s="7" t="s">
        <v>58</v>
      </c>
      <c r="C20" s="7" t="s">
        <v>59</v>
      </c>
      <c r="D20" s="7" t="s">
        <v>60</v>
      </c>
      <c r="E20" s="7" t="s">
        <v>61</v>
      </c>
      <c r="F20" s="8">
        <v>35861</v>
      </c>
      <c r="G20" s="7">
        <v>6</v>
      </c>
      <c r="H20" s="7">
        <v>7800</v>
      </c>
      <c r="I20" s="7">
        <v>108</v>
      </c>
      <c r="J20" s="7">
        <v>10</v>
      </c>
    </row>
    <row r="21" spans="1:10" ht="14.25" customHeight="1" x14ac:dyDescent="0.3">
      <c r="A21" s="7">
        <v>113</v>
      </c>
      <c r="B21" s="7" t="s">
        <v>62</v>
      </c>
      <c r="C21" s="7" t="s">
        <v>63</v>
      </c>
      <c r="D21" s="7" t="s">
        <v>64</v>
      </c>
      <c r="E21" s="7" t="s">
        <v>65</v>
      </c>
      <c r="F21" s="8">
        <v>36501</v>
      </c>
      <c r="G21" s="7">
        <v>6</v>
      </c>
      <c r="H21" s="7">
        <v>6900</v>
      </c>
      <c r="I21" s="7">
        <v>108</v>
      </c>
      <c r="J21" s="7">
        <v>10</v>
      </c>
    </row>
    <row r="22" spans="1:10" ht="14.25" customHeight="1" x14ac:dyDescent="0.3">
      <c r="A22" s="7">
        <v>114</v>
      </c>
      <c r="B22" s="7" t="s">
        <v>66</v>
      </c>
      <c r="C22" s="7" t="s">
        <v>67</v>
      </c>
      <c r="D22" s="7" t="s">
        <v>68</v>
      </c>
      <c r="E22" s="7" t="s">
        <v>69</v>
      </c>
      <c r="F22" s="8">
        <v>34675</v>
      </c>
      <c r="G22" s="7">
        <v>14</v>
      </c>
      <c r="H22" s="7">
        <v>11000</v>
      </c>
      <c r="I22" s="7">
        <v>100</v>
      </c>
      <c r="J22" s="7">
        <v>3</v>
      </c>
    </row>
    <row r="23" spans="1:10" ht="14.25" customHeight="1" x14ac:dyDescent="0.3">
      <c r="A23" s="7">
        <v>115</v>
      </c>
      <c r="B23" s="7" t="s">
        <v>22</v>
      </c>
      <c r="C23" s="7" t="s">
        <v>70</v>
      </c>
      <c r="D23" s="7" t="s">
        <v>71</v>
      </c>
      <c r="E23" s="7" t="s">
        <v>72</v>
      </c>
      <c r="F23" s="8">
        <v>34837</v>
      </c>
      <c r="G23" s="7">
        <v>13</v>
      </c>
      <c r="H23" s="7">
        <v>3100</v>
      </c>
      <c r="I23" s="7">
        <v>114</v>
      </c>
      <c r="J23" s="7">
        <v>3</v>
      </c>
    </row>
    <row r="24" spans="1:10" ht="14.25" customHeight="1" x14ac:dyDescent="0.3">
      <c r="A24" s="7">
        <v>116</v>
      </c>
      <c r="B24" s="7" t="s">
        <v>73</v>
      </c>
      <c r="C24" s="7" t="s">
        <v>74</v>
      </c>
      <c r="D24" s="7" t="s">
        <v>75</v>
      </c>
      <c r="E24" s="7" t="s">
        <v>76</v>
      </c>
      <c r="F24" s="8">
        <v>35788</v>
      </c>
      <c r="G24" s="7">
        <v>13</v>
      </c>
      <c r="H24" s="7">
        <v>2900</v>
      </c>
      <c r="I24" s="7">
        <v>114</v>
      </c>
      <c r="J24" s="7">
        <v>3</v>
      </c>
    </row>
    <row r="25" spans="1:10" ht="14.25" customHeight="1" x14ac:dyDescent="0.3">
      <c r="A25" s="7">
        <v>117</v>
      </c>
      <c r="B25" s="7" t="s">
        <v>77</v>
      </c>
      <c r="C25" s="7" t="s">
        <v>78</v>
      </c>
      <c r="D25" s="7" t="s">
        <v>79</v>
      </c>
      <c r="E25" s="7" t="s">
        <v>80</v>
      </c>
      <c r="F25" s="8">
        <v>35635</v>
      </c>
      <c r="G25" s="7">
        <v>13</v>
      </c>
      <c r="H25" s="7">
        <v>2800</v>
      </c>
      <c r="I25" s="7">
        <v>114</v>
      </c>
      <c r="J25" s="7">
        <v>3</v>
      </c>
    </row>
    <row r="26" spans="1:10" ht="14.25" customHeight="1" x14ac:dyDescent="0.3">
      <c r="A26" s="7">
        <v>118</v>
      </c>
      <c r="B26" s="7" t="s">
        <v>81</v>
      </c>
      <c r="C26" s="7" t="s">
        <v>82</v>
      </c>
      <c r="D26" s="7" t="s">
        <v>83</v>
      </c>
      <c r="E26" s="7" t="s">
        <v>84</v>
      </c>
      <c r="F26" s="8">
        <v>36114</v>
      </c>
      <c r="G26" s="7">
        <v>13</v>
      </c>
      <c r="H26" s="7">
        <v>2600</v>
      </c>
      <c r="I26" s="7">
        <v>114</v>
      </c>
      <c r="J26" s="7">
        <v>3</v>
      </c>
    </row>
    <row r="27" spans="1:10" ht="14.25" customHeight="1" x14ac:dyDescent="0.3">
      <c r="A27" s="7">
        <v>119</v>
      </c>
      <c r="B27" s="7" t="s">
        <v>85</v>
      </c>
      <c r="C27" s="7" t="s">
        <v>86</v>
      </c>
      <c r="D27" s="7" t="s">
        <v>87</v>
      </c>
      <c r="E27" s="7" t="s">
        <v>88</v>
      </c>
      <c r="F27" s="8">
        <v>36382</v>
      </c>
      <c r="G27" s="7">
        <v>13</v>
      </c>
      <c r="H27" s="7">
        <v>2500</v>
      </c>
      <c r="I27" s="7">
        <v>114</v>
      </c>
      <c r="J27" s="7">
        <v>3</v>
      </c>
    </row>
    <row r="28" spans="1:10" ht="14.25" customHeight="1" x14ac:dyDescent="0.3">
      <c r="A28" s="7">
        <v>120</v>
      </c>
      <c r="B28" s="7" t="s">
        <v>89</v>
      </c>
      <c r="C28" s="7" t="s">
        <v>90</v>
      </c>
      <c r="D28" s="7" t="s">
        <v>91</v>
      </c>
      <c r="E28" s="7" t="s">
        <v>92</v>
      </c>
      <c r="F28" s="8">
        <v>35264</v>
      </c>
      <c r="G28" s="7">
        <v>19</v>
      </c>
      <c r="H28" s="7">
        <v>8000</v>
      </c>
      <c r="I28" s="7">
        <v>100</v>
      </c>
      <c r="J28" s="7">
        <v>5</v>
      </c>
    </row>
    <row r="29" spans="1:10" ht="14.25" customHeight="1" x14ac:dyDescent="0.3">
      <c r="A29" s="7">
        <v>121</v>
      </c>
      <c r="B29" s="7" t="s">
        <v>93</v>
      </c>
      <c r="C29" s="7" t="s">
        <v>94</v>
      </c>
      <c r="D29" s="7" t="s">
        <v>95</v>
      </c>
      <c r="E29" s="7" t="s">
        <v>96</v>
      </c>
      <c r="F29" s="8">
        <v>35530</v>
      </c>
      <c r="G29" s="7">
        <v>19</v>
      </c>
      <c r="H29" s="7">
        <v>8200</v>
      </c>
      <c r="I29" s="7">
        <v>100</v>
      </c>
      <c r="J29" s="7">
        <v>5</v>
      </c>
    </row>
    <row r="30" spans="1:10" ht="14.25" customHeight="1" x14ac:dyDescent="0.3">
      <c r="A30" s="7">
        <v>122</v>
      </c>
      <c r="B30" s="7" t="s">
        <v>97</v>
      </c>
      <c r="C30" s="7" t="s">
        <v>98</v>
      </c>
      <c r="D30" s="7" t="s">
        <v>99</v>
      </c>
      <c r="E30" s="7" t="s">
        <v>100</v>
      </c>
      <c r="F30" s="8">
        <v>34820</v>
      </c>
      <c r="G30" s="7">
        <v>19</v>
      </c>
      <c r="H30" s="7">
        <v>7900</v>
      </c>
      <c r="I30" s="7">
        <v>100</v>
      </c>
      <c r="J30" s="7">
        <v>5</v>
      </c>
    </row>
    <row r="31" spans="1:10" ht="14.25" customHeight="1" x14ac:dyDescent="0.3">
      <c r="A31" s="7">
        <v>123</v>
      </c>
      <c r="B31" s="7" t="s">
        <v>101</v>
      </c>
      <c r="C31" s="7" t="s">
        <v>102</v>
      </c>
      <c r="D31" s="7" t="s">
        <v>103</v>
      </c>
      <c r="E31" s="7" t="s">
        <v>104</v>
      </c>
      <c r="F31" s="8">
        <v>35713</v>
      </c>
      <c r="G31" s="7">
        <v>19</v>
      </c>
      <c r="H31" s="7">
        <v>6500</v>
      </c>
      <c r="I31" s="7">
        <v>100</v>
      </c>
      <c r="J31" s="7">
        <v>5</v>
      </c>
    </row>
    <row r="32" spans="1:10" ht="14.25" customHeight="1" x14ac:dyDescent="0.3">
      <c r="A32" s="7">
        <v>126</v>
      </c>
      <c r="B32" s="7" t="s">
        <v>105</v>
      </c>
      <c r="C32" s="7" t="s">
        <v>106</v>
      </c>
      <c r="D32" s="7" t="s">
        <v>107</v>
      </c>
      <c r="E32" s="7" t="s">
        <v>108</v>
      </c>
      <c r="F32" s="8">
        <v>36066</v>
      </c>
      <c r="G32" s="7">
        <v>18</v>
      </c>
      <c r="H32" s="7">
        <v>2700</v>
      </c>
      <c r="I32" s="7">
        <v>120</v>
      </c>
      <c r="J32" s="7">
        <v>5</v>
      </c>
    </row>
    <row r="33" spans="1:10" ht="14.25" customHeight="1" x14ac:dyDescent="0.3">
      <c r="A33" s="7">
        <v>145</v>
      </c>
      <c r="B33" s="7" t="s">
        <v>50</v>
      </c>
      <c r="C33" s="7" t="s">
        <v>109</v>
      </c>
      <c r="D33" s="7" t="s">
        <v>110</v>
      </c>
      <c r="E33" s="9"/>
      <c r="F33" s="8">
        <v>35339</v>
      </c>
      <c r="G33" s="7">
        <v>15</v>
      </c>
      <c r="H33" s="7">
        <v>14000</v>
      </c>
      <c r="I33" s="7">
        <v>100</v>
      </c>
      <c r="J33" s="7">
        <v>8</v>
      </c>
    </row>
    <row r="34" spans="1:10" ht="14.25" customHeight="1" x14ac:dyDescent="0.3">
      <c r="A34" s="7">
        <v>146</v>
      </c>
      <c r="B34" s="7" t="s">
        <v>85</v>
      </c>
      <c r="C34" s="7" t="s">
        <v>111</v>
      </c>
      <c r="D34" s="7" t="s">
        <v>112</v>
      </c>
      <c r="E34" s="9"/>
      <c r="F34" s="8">
        <v>35435</v>
      </c>
      <c r="G34" s="7">
        <v>15</v>
      </c>
      <c r="H34" s="7">
        <v>13500</v>
      </c>
      <c r="I34" s="7">
        <v>100</v>
      </c>
      <c r="J34" s="7">
        <v>8</v>
      </c>
    </row>
    <row r="35" spans="1:10" ht="14.25" customHeight="1" x14ac:dyDescent="0.3">
      <c r="A35" s="7">
        <v>176</v>
      </c>
      <c r="B35" s="7" t="s">
        <v>113</v>
      </c>
      <c r="C35" s="7" t="s">
        <v>114</v>
      </c>
      <c r="D35" s="7" t="s">
        <v>115</v>
      </c>
      <c r="E35" s="9"/>
      <c r="F35" s="8">
        <v>35878</v>
      </c>
      <c r="G35" s="7">
        <v>16</v>
      </c>
      <c r="H35" s="7">
        <v>8600</v>
      </c>
      <c r="I35" s="7">
        <v>100</v>
      </c>
      <c r="J35" s="7">
        <v>8</v>
      </c>
    </row>
    <row r="36" spans="1:10" ht="14.25" customHeight="1" x14ac:dyDescent="0.3">
      <c r="A36" s="7">
        <v>177</v>
      </c>
      <c r="B36" s="7" t="s">
        <v>116</v>
      </c>
      <c r="C36" s="7" t="s">
        <v>117</v>
      </c>
      <c r="D36" s="7" t="s">
        <v>118</v>
      </c>
      <c r="E36" s="9"/>
      <c r="F36" s="8">
        <v>35908</v>
      </c>
      <c r="G36" s="7">
        <v>16</v>
      </c>
      <c r="H36" s="7">
        <v>8400</v>
      </c>
      <c r="I36" s="7">
        <v>100</v>
      </c>
      <c r="J36" s="7">
        <v>8</v>
      </c>
    </row>
    <row r="37" spans="1:10" ht="14.25" customHeight="1" x14ac:dyDescent="0.3">
      <c r="A37" s="7">
        <v>178</v>
      </c>
      <c r="B37" s="7" t="s">
        <v>119</v>
      </c>
      <c r="C37" s="7" t="s">
        <v>120</v>
      </c>
      <c r="D37" s="7" t="s">
        <v>121</v>
      </c>
      <c r="E37" s="9"/>
      <c r="F37" s="8">
        <v>36304</v>
      </c>
      <c r="G37" s="7">
        <v>16</v>
      </c>
      <c r="H37" s="7">
        <v>7000</v>
      </c>
      <c r="I37" s="7">
        <v>100</v>
      </c>
      <c r="J37" s="7">
        <v>8</v>
      </c>
    </row>
    <row r="38" spans="1:10" ht="14.25" customHeight="1" x14ac:dyDescent="0.3">
      <c r="A38" s="7">
        <v>179</v>
      </c>
      <c r="B38" s="7" t="s">
        <v>122</v>
      </c>
      <c r="C38" s="7" t="s">
        <v>123</v>
      </c>
      <c r="D38" s="7" t="s">
        <v>124</v>
      </c>
      <c r="E38" s="9"/>
      <c r="F38" s="8">
        <v>36529</v>
      </c>
      <c r="G38" s="7">
        <v>16</v>
      </c>
      <c r="H38" s="7">
        <v>6200</v>
      </c>
      <c r="I38" s="7">
        <v>100</v>
      </c>
      <c r="J38" s="7">
        <v>8</v>
      </c>
    </row>
    <row r="39" spans="1:10" ht="14.25" customHeight="1" x14ac:dyDescent="0.3">
      <c r="A39" s="7">
        <v>192</v>
      </c>
      <c r="B39" s="7" t="s">
        <v>125</v>
      </c>
      <c r="C39" s="7" t="s">
        <v>126</v>
      </c>
      <c r="D39" s="7" t="s">
        <v>127</v>
      </c>
      <c r="E39" s="7" t="s">
        <v>128</v>
      </c>
      <c r="F39" s="8">
        <v>35099</v>
      </c>
      <c r="G39" s="7">
        <v>17</v>
      </c>
      <c r="H39" s="7">
        <v>4000</v>
      </c>
      <c r="I39" s="7">
        <v>123</v>
      </c>
      <c r="J39" s="7">
        <v>5</v>
      </c>
    </row>
    <row r="40" spans="1:10" ht="14.25" customHeight="1" x14ac:dyDescent="0.3">
      <c r="A40" s="7">
        <v>193</v>
      </c>
      <c r="B40" s="7" t="s">
        <v>129</v>
      </c>
      <c r="C40" s="7" t="s">
        <v>130</v>
      </c>
      <c r="D40" s="7" t="s">
        <v>131</v>
      </c>
      <c r="E40" s="7" t="s">
        <v>132</v>
      </c>
      <c r="F40" s="8">
        <v>35492</v>
      </c>
      <c r="G40" s="7">
        <v>17</v>
      </c>
      <c r="H40" s="7">
        <v>3900</v>
      </c>
      <c r="I40" s="7">
        <v>123</v>
      </c>
      <c r="J40" s="7">
        <v>5</v>
      </c>
    </row>
    <row r="41" spans="1:10" ht="14.25" customHeight="1" x14ac:dyDescent="0.3">
      <c r="A41" s="7">
        <v>200</v>
      </c>
      <c r="B41" s="7" t="s">
        <v>133</v>
      </c>
      <c r="C41" s="7" t="s">
        <v>134</v>
      </c>
      <c r="D41" s="7" t="s">
        <v>135</v>
      </c>
      <c r="E41" s="7" t="s">
        <v>136</v>
      </c>
      <c r="F41" s="8">
        <v>32037</v>
      </c>
      <c r="G41" s="7">
        <v>3</v>
      </c>
      <c r="H41" s="7">
        <v>4400</v>
      </c>
      <c r="I41" s="7">
        <v>101</v>
      </c>
      <c r="J41" s="7">
        <v>1</v>
      </c>
    </row>
    <row r="42" spans="1:10" ht="14.25" customHeight="1" x14ac:dyDescent="0.3">
      <c r="A42" s="7">
        <v>201</v>
      </c>
      <c r="B42" s="7" t="s">
        <v>137</v>
      </c>
      <c r="C42" s="7" t="s">
        <v>138</v>
      </c>
      <c r="D42" s="7" t="s">
        <v>139</v>
      </c>
      <c r="E42" s="7" t="s">
        <v>140</v>
      </c>
      <c r="F42" s="8">
        <v>35112</v>
      </c>
      <c r="G42" s="7">
        <v>10</v>
      </c>
      <c r="H42" s="7">
        <v>13000</v>
      </c>
      <c r="I42" s="7">
        <v>100</v>
      </c>
      <c r="J42" s="7">
        <v>2</v>
      </c>
    </row>
    <row r="43" spans="1:10" ht="14.25" customHeight="1" x14ac:dyDescent="0.3">
      <c r="A43" s="7">
        <v>202</v>
      </c>
      <c r="B43" s="7" t="s">
        <v>141</v>
      </c>
      <c r="C43" s="7" t="s">
        <v>142</v>
      </c>
      <c r="D43" s="7" t="s">
        <v>143</v>
      </c>
      <c r="E43" s="7" t="s">
        <v>144</v>
      </c>
      <c r="F43" s="8">
        <v>35659</v>
      </c>
      <c r="G43" s="7">
        <v>11</v>
      </c>
      <c r="H43" s="7">
        <v>6000</v>
      </c>
      <c r="I43" s="7">
        <v>201</v>
      </c>
      <c r="J43" s="7">
        <v>2</v>
      </c>
    </row>
    <row r="44" spans="1:10" ht="14.25" customHeight="1" x14ac:dyDescent="0.3">
      <c r="A44" s="7">
        <v>203</v>
      </c>
      <c r="B44" s="7" t="s">
        <v>145</v>
      </c>
      <c r="C44" s="7" t="s">
        <v>146</v>
      </c>
      <c r="D44" s="7" t="s">
        <v>147</v>
      </c>
      <c r="E44" s="7" t="s">
        <v>148</v>
      </c>
      <c r="F44" s="8">
        <v>34492</v>
      </c>
      <c r="G44" s="7">
        <v>8</v>
      </c>
      <c r="H44" s="7">
        <v>6500</v>
      </c>
      <c r="I44" s="7">
        <v>101</v>
      </c>
      <c r="J44" s="7">
        <v>4</v>
      </c>
    </row>
    <row r="45" spans="1:10" ht="14.25" customHeight="1" x14ac:dyDescent="0.3">
      <c r="A45" s="7">
        <v>204</v>
      </c>
      <c r="B45" s="7" t="s">
        <v>149</v>
      </c>
      <c r="C45" s="7" t="s">
        <v>150</v>
      </c>
      <c r="D45" s="7" t="s">
        <v>151</v>
      </c>
      <c r="E45" s="7" t="s">
        <v>152</v>
      </c>
      <c r="F45" s="8">
        <v>34492</v>
      </c>
      <c r="G45" s="7">
        <v>12</v>
      </c>
      <c r="H45" s="7">
        <v>10000</v>
      </c>
      <c r="I45" s="7">
        <v>101</v>
      </c>
      <c r="J45" s="7">
        <v>7</v>
      </c>
    </row>
    <row r="46" spans="1:10" ht="14.25" customHeight="1" x14ac:dyDescent="0.3">
      <c r="A46" s="7">
        <v>205</v>
      </c>
      <c r="B46" s="7" t="s">
        <v>153</v>
      </c>
      <c r="C46" s="7" t="s">
        <v>154</v>
      </c>
      <c r="D46" s="7" t="s">
        <v>155</v>
      </c>
      <c r="E46" s="7" t="s">
        <v>156</v>
      </c>
      <c r="F46" s="8">
        <v>34492</v>
      </c>
      <c r="G46" s="7">
        <v>2</v>
      </c>
      <c r="H46" s="7">
        <v>12000</v>
      </c>
      <c r="I46" s="7">
        <v>101</v>
      </c>
      <c r="J46" s="7">
        <v>11</v>
      </c>
    </row>
    <row r="47" spans="1:10" ht="14.25" customHeight="1" x14ac:dyDescent="0.3">
      <c r="A47" s="7">
        <v>206</v>
      </c>
      <c r="B47" s="7" t="s">
        <v>157</v>
      </c>
      <c r="C47" s="7" t="s">
        <v>158</v>
      </c>
      <c r="D47" s="7" t="s">
        <v>159</v>
      </c>
      <c r="E47" s="7" t="s">
        <v>160</v>
      </c>
      <c r="F47" s="8">
        <v>34492</v>
      </c>
      <c r="G47" s="7">
        <v>1</v>
      </c>
      <c r="H47" s="7">
        <v>8300</v>
      </c>
      <c r="I47" s="7">
        <v>205</v>
      </c>
      <c r="J47" s="7">
        <v>11</v>
      </c>
    </row>
    <row r="48" spans="1:10" ht="14.25" customHeight="1" x14ac:dyDescent="0.3">
      <c r="A48" s="24">
        <v>207</v>
      </c>
      <c r="B48" s="25" t="s">
        <v>308</v>
      </c>
      <c r="C48" s="25" t="s">
        <v>309</v>
      </c>
      <c r="D48" s="26" t="s">
        <v>310</v>
      </c>
      <c r="E48" s="25" t="s">
        <v>311</v>
      </c>
      <c r="F48" s="27" t="s">
        <v>307</v>
      </c>
      <c r="G48" s="24">
        <v>1</v>
      </c>
      <c r="H48" s="24">
        <v>15000</v>
      </c>
      <c r="I48" s="24">
        <v>100</v>
      </c>
      <c r="J48" s="24">
        <v>8</v>
      </c>
    </row>
    <row r="49" spans="1:10" ht="14.25" customHeight="1" x14ac:dyDescent="0.3">
      <c r="A49" s="28">
        <v>207</v>
      </c>
      <c r="B49" s="28" t="s">
        <v>308</v>
      </c>
      <c r="C49" s="28" t="s">
        <v>309</v>
      </c>
      <c r="D49" s="29" t="s">
        <v>310</v>
      </c>
      <c r="E49" s="14" t="s">
        <v>311</v>
      </c>
      <c r="F49" s="30">
        <v>45551</v>
      </c>
      <c r="G49" s="28">
        <v>1</v>
      </c>
      <c r="H49" s="28">
        <v>15000</v>
      </c>
      <c r="I49" s="28">
        <v>100</v>
      </c>
      <c r="J49" s="28">
        <v>8</v>
      </c>
    </row>
    <row r="50" spans="1:10" ht="14.25" customHeight="1" x14ac:dyDescent="0.3"/>
    <row r="51" spans="1:10" ht="14.25" customHeight="1" x14ac:dyDescent="0.3"/>
    <row r="52" spans="1:10" ht="14.25" customHeight="1" x14ac:dyDescent="0.3"/>
    <row r="53" spans="1:10" ht="14.25" customHeight="1" x14ac:dyDescent="0.3"/>
    <row r="54" spans="1:10" ht="14.25" customHeight="1" x14ac:dyDescent="0.3"/>
    <row r="55" spans="1:10" ht="14.25" customHeight="1" x14ac:dyDescent="0.3"/>
    <row r="56" spans="1:10" ht="14.25" customHeight="1" x14ac:dyDescent="0.3"/>
    <row r="57" spans="1:10" ht="14.25" customHeight="1" x14ac:dyDescent="0.3"/>
    <row r="58" spans="1:10" ht="14.25" customHeight="1" x14ac:dyDescent="0.3"/>
    <row r="59" spans="1:10" ht="14.25" customHeight="1" x14ac:dyDescent="0.3"/>
    <row r="60" spans="1:10" ht="14.25" customHeight="1" x14ac:dyDescent="0.3"/>
    <row r="61" spans="1:10" ht="14.25" customHeight="1" x14ac:dyDescent="0.3"/>
    <row r="62" spans="1:10" ht="14.25" customHeight="1" x14ac:dyDescent="0.3"/>
    <row r="63" spans="1:10" ht="14.25" customHeight="1" x14ac:dyDescent="0.3"/>
    <row r="64" spans="1:10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</sheetData>
  <hyperlinks>
    <hyperlink ref="D48" r:id="rId1" xr:uid="{80502B7F-8B9D-4431-9B63-49C31770064C}"/>
  </hyperlinks>
  <pageMargins left="0.7" right="0.7" top="0.75" bottom="0.75" header="0" footer="0"/>
  <pageSetup orientation="landscape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8E04E-0FCA-4384-8FCB-739E167E7262}">
  <sheetPr codeName="Sheet12"/>
  <dimension ref="A2:Z1006"/>
  <sheetViews>
    <sheetView workbookViewId="0">
      <selection activeCell="D11" sqref="D11"/>
    </sheetView>
  </sheetViews>
  <sheetFormatPr defaultColWidth="12.6640625" defaultRowHeight="15" customHeight="1" x14ac:dyDescent="0.3"/>
  <cols>
    <col min="1" max="1" width="11.6640625" bestFit="1" customWidth="1"/>
    <col min="2" max="2" width="10.5546875" customWidth="1"/>
    <col min="3" max="3" width="10.77734375" bestFit="1" customWidth="1"/>
    <col min="4" max="4" width="29.88671875" customWidth="1"/>
    <col min="5" max="5" width="13.44140625" bestFit="1" customWidth="1"/>
    <col min="6" max="6" width="13.21875" bestFit="1" customWidth="1"/>
    <col min="7" max="7" width="7.44140625" bestFit="1" customWidth="1"/>
    <col min="8" max="8" width="8.6640625" customWidth="1"/>
    <col min="9" max="9" width="32.5546875" bestFit="1" customWidth="1"/>
    <col min="10" max="10" width="13.44140625" bestFit="1" customWidth="1"/>
    <col min="11" max="26" width="8.6640625" customWidth="1"/>
  </cols>
  <sheetData>
    <row r="2" spans="1:26" ht="15" customHeight="1" x14ac:dyDescent="0.35">
      <c r="B2" s="15" t="s">
        <v>312</v>
      </c>
    </row>
    <row r="3" spans="1:26" ht="15" customHeight="1" thickBot="1" x14ac:dyDescent="0.35"/>
    <row r="4" spans="1:26" ht="15" customHeight="1" thickBot="1" x14ac:dyDescent="0.35">
      <c r="F4" s="33" t="s">
        <v>302</v>
      </c>
      <c r="G4" s="34">
        <f>AVERAGE($H$8:$H$47)</f>
        <v>8060</v>
      </c>
      <c r="I4" s="10" t="s">
        <v>313</v>
      </c>
    </row>
    <row r="7" spans="1:26" ht="14.25" customHeight="1" x14ac:dyDescent="0.3">
      <c r="A7" s="36" t="s">
        <v>0</v>
      </c>
      <c r="B7" s="36" t="s">
        <v>1</v>
      </c>
      <c r="C7" s="36" t="s">
        <v>2</v>
      </c>
      <c r="D7" s="36" t="s">
        <v>3</v>
      </c>
      <c r="E7" s="36" t="s">
        <v>4</v>
      </c>
      <c r="F7" s="36" t="s">
        <v>5</v>
      </c>
      <c r="G7" s="36" t="s">
        <v>6</v>
      </c>
      <c r="H7" s="36" t="s">
        <v>7</v>
      </c>
      <c r="I7" s="36" t="s">
        <v>8</v>
      </c>
      <c r="J7" s="36" t="s">
        <v>9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2">
        <v>100</v>
      </c>
      <c r="B8" s="2" t="s">
        <v>10</v>
      </c>
      <c r="C8" s="2" t="s">
        <v>11</v>
      </c>
      <c r="D8" s="2" t="s">
        <v>12</v>
      </c>
      <c r="E8" s="2" t="s">
        <v>13</v>
      </c>
      <c r="F8" s="3">
        <v>31945</v>
      </c>
      <c r="G8" s="2">
        <v>4</v>
      </c>
      <c r="H8" s="2">
        <v>24000</v>
      </c>
      <c r="J8" s="2">
        <v>9</v>
      </c>
    </row>
    <row r="9" spans="1:26" ht="14.25" customHeight="1" x14ac:dyDescent="0.3">
      <c r="A9" s="2">
        <v>101</v>
      </c>
      <c r="B9" s="2" t="s">
        <v>14</v>
      </c>
      <c r="C9" s="2" t="s">
        <v>15</v>
      </c>
      <c r="D9" s="2" t="s">
        <v>16</v>
      </c>
      <c r="E9" s="2" t="s">
        <v>17</v>
      </c>
      <c r="F9" s="3">
        <v>32772</v>
      </c>
      <c r="G9" s="2">
        <v>5</v>
      </c>
      <c r="H9" s="2">
        <v>17000</v>
      </c>
      <c r="I9" s="2">
        <v>100</v>
      </c>
      <c r="J9" s="2">
        <v>9</v>
      </c>
    </row>
    <row r="10" spans="1:26" ht="14.25" customHeight="1" x14ac:dyDescent="0.3">
      <c r="A10" s="2">
        <v>102</v>
      </c>
      <c r="B10" s="2" t="s">
        <v>18</v>
      </c>
      <c r="C10" s="2" t="s">
        <v>19</v>
      </c>
      <c r="D10" s="2" t="s">
        <v>20</v>
      </c>
      <c r="E10" s="2" t="s">
        <v>21</v>
      </c>
      <c r="F10" s="3">
        <v>33982</v>
      </c>
      <c r="G10" s="2">
        <v>5</v>
      </c>
      <c r="H10" s="2">
        <v>17000</v>
      </c>
      <c r="I10" s="2">
        <v>100</v>
      </c>
      <c r="J10" s="2">
        <v>9</v>
      </c>
    </row>
    <row r="11" spans="1:26" ht="14.25" customHeight="1" x14ac:dyDescent="0.3">
      <c r="A11" s="2">
        <v>103</v>
      </c>
      <c r="B11" s="2" t="s">
        <v>22</v>
      </c>
      <c r="C11" s="2" t="s">
        <v>23</v>
      </c>
      <c r="D11" s="2" t="s">
        <v>24</v>
      </c>
      <c r="E11" s="2" t="s">
        <v>25</v>
      </c>
      <c r="F11" s="3">
        <v>32876</v>
      </c>
      <c r="G11" s="2">
        <v>9</v>
      </c>
      <c r="H11" s="2">
        <v>9000</v>
      </c>
      <c r="I11" s="2">
        <v>102</v>
      </c>
      <c r="J11" s="2">
        <v>6</v>
      </c>
    </row>
    <row r="12" spans="1:26" ht="14.25" customHeight="1" x14ac:dyDescent="0.3">
      <c r="A12" s="2">
        <v>104</v>
      </c>
      <c r="B12" s="2" t="s">
        <v>26</v>
      </c>
      <c r="C12" s="2" t="s">
        <v>27</v>
      </c>
      <c r="D12" s="7" t="s">
        <v>28</v>
      </c>
      <c r="E12" s="2" t="s">
        <v>29</v>
      </c>
      <c r="F12" s="3">
        <v>33379</v>
      </c>
      <c r="G12" s="2">
        <v>9</v>
      </c>
      <c r="H12" s="2">
        <v>6000</v>
      </c>
      <c r="I12" s="2">
        <v>103</v>
      </c>
      <c r="J12" s="2">
        <v>6</v>
      </c>
    </row>
    <row r="13" spans="1:26" ht="14.25" customHeight="1" x14ac:dyDescent="0.3">
      <c r="A13" s="2">
        <v>105</v>
      </c>
      <c r="B13" s="2" t="s">
        <v>30</v>
      </c>
      <c r="C13" s="2" t="s">
        <v>31</v>
      </c>
      <c r="D13" s="2" t="s">
        <v>32</v>
      </c>
      <c r="E13" s="2" t="s">
        <v>33</v>
      </c>
      <c r="F13" s="3">
        <v>35606</v>
      </c>
      <c r="G13" s="2">
        <v>9</v>
      </c>
      <c r="H13" s="2">
        <v>4800</v>
      </c>
      <c r="I13" s="2">
        <v>103</v>
      </c>
      <c r="J13" s="2">
        <v>6</v>
      </c>
    </row>
    <row r="14" spans="1:26" ht="14.25" customHeight="1" x14ac:dyDescent="0.3">
      <c r="A14" s="2">
        <v>106</v>
      </c>
      <c r="B14" s="2" t="s">
        <v>34</v>
      </c>
      <c r="C14" s="2" t="s">
        <v>35</v>
      </c>
      <c r="D14" s="2" t="s">
        <v>36</v>
      </c>
      <c r="E14" s="2" t="s">
        <v>37</v>
      </c>
      <c r="F14" s="3">
        <v>35831</v>
      </c>
      <c r="G14" s="2">
        <v>9</v>
      </c>
      <c r="H14" s="2">
        <v>4800</v>
      </c>
      <c r="I14" s="2">
        <v>103</v>
      </c>
      <c r="J14" s="2">
        <v>6</v>
      </c>
    </row>
    <row r="15" spans="1:26" ht="14.25" customHeight="1" x14ac:dyDescent="0.3">
      <c r="A15" s="2">
        <v>107</v>
      </c>
      <c r="B15" s="2" t="s">
        <v>38</v>
      </c>
      <c r="C15" s="2" t="s">
        <v>39</v>
      </c>
      <c r="D15" s="2" t="s">
        <v>40</v>
      </c>
      <c r="E15" s="2" t="s">
        <v>41</v>
      </c>
      <c r="F15" s="3">
        <v>36198</v>
      </c>
      <c r="G15" s="2">
        <v>9</v>
      </c>
      <c r="H15" s="2">
        <v>4200</v>
      </c>
      <c r="I15" s="2">
        <v>103</v>
      </c>
      <c r="J15" s="2">
        <v>6</v>
      </c>
    </row>
    <row r="16" spans="1:26" ht="14.25" customHeight="1" x14ac:dyDescent="0.3">
      <c r="A16" s="2">
        <v>108</v>
      </c>
      <c r="B16" s="2" t="s">
        <v>42</v>
      </c>
      <c r="C16" s="2" t="s">
        <v>43</v>
      </c>
      <c r="D16" s="2" t="s">
        <v>44</v>
      </c>
      <c r="E16" s="2" t="s">
        <v>45</v>
      </c>
      <c r="F16" s="3">
        <v>34563</v>
      </c>
      <c r="G16" s="2">
        <v>7</v>
      </c>
      <c r="H16" s="2">
        <v>12000</v>
      </c>
      <c r="I16" s="2">
        <v>101</v>
      </c>
      <c r="J16" s="2">
        <v>10</v>
      </c>
    </row>
    <row r="17" spans="1:10" ht="14.25" customHeight="1" x14ac:dyDescent="0.3">
      <c r="A17" s="2">
        <v>109</v>
      </c>
      <c r="B17" s="2" t="s">
        <v>46</v>
      </c>
      <c r="C17" s="2" t="s">
        <v>47</v>
      </c>
      <c r="D17" s="2" t="s">
        <v>48</v>
      </c>
      <c r="E17" s="2" t="s">
        <v>49</v>
      </c>
      <c r="F17" s="3">
        <v>34562</v>
      </c>
      <c r="G17" s="2">
        <v>6</v>
      </c>
      <c r="H17" s="2">
        <v>9000</v>
      </c>
      <c r="I17" s="2">
        <v>108</v>
      </c>
      <c r="J17" s="2">
        <v>10</v>
      </c>
    </row>
    <row r="18" spans="1:10" ht="14.25" customHeight="1" x14ac:dyDescent="0.3">
      <c r="A18" s="2">
        <v>110</v>
      </c>
      <c r="B18" s="2" t="s">
        <v>50</v>
      </c>
      <c r="C18" s="2" t="s">
        <v>51</v>
      </c>
      <c r="D18" s="2" t="s">
        <v>52</v>
      </c>
      <c r="E18" s="2" t="s">
        <v>53</v>
      </c>
      <c r="F18" s="3">
        <v>35701</v>
      </c>
      <c r="G18" s="2">
        <v>6</v>
      </c>
      <c r="H18" s="2">
        <v>8200</v>
      </c>
      <c r="I18" s="2">
        <v>108</v>
      </c>
      <c r="J18" s="2">
        <v>10</v>
      </c>
    </row>
    <row r="19" spans="1:10" ht="14.25" customHeight="1" x14ac:dyDescent="0.3">
      <c r="A19" s="2">
        <v>111</v>
      </c>
      <c r="B19" s="2" t="s">
        <v>54</v>
      </c>
      <c r="C19" s="2" t="s">
        <v>55</v>
      </c>
      <c r="D19" s="2" t="s">
        <v>56</v>
      </c>
      <c r="E19" s="2" t="s">
        <v>57</v>
      </c>
      <c r="F19" s="3">
        <v>35703</v>
      </c>
      <c r="G19" s="2">
        <v>6</v>
      </c>
      <c r="H19" s="2">
        <v>7700</v>
      </c>
      <c r="I19" s="2">
        <v>108</v>
      </c>
      <c r="J19" s="2">
        <v>10</v>
      </c>
    </row>
    <row r="20" spans="1:10" ht="14.25" customHeight="1" x14ac:dyDescent="0.3">
      <c r="A20" s="2">
        <v>112</v>
      </c>
      <c r="B20" s="2" t="s">
        <v>58</v>
      </c>
      <c r="C20" s="2" t="s">
        <v>59</v>
      </c>
      <c r="D20" s="2" t="s">
        <v>60</v>
      </c>
      <c r="E20" s="2" t="s">
        <v>61</v>
      </c>
      <c r="F20" s="3">
        <v>35861</v>
      </c>
      <c r="G20" s="2">
        <v>6</v>
      </c>
      <c r="H20" s="2">
        <v>7800</v>
      </c>
      <c r="I20" s="2">
        <v>108</v>
      </c>
      <c r="J20" s="2">
        <v>10</v>
      </c>
    </row>
    <row r="21" spans="1:10" ht="14.25" customHeight="1" x14ac:dyDescent="0.3">
      <c r="A21" s="2">
        <v>113</v>
      </c>
      <c r="B21" s="2" t="s">
        <v>62</v>
      </c>
      <c r="C21" s="2" t="s">
        <v>63</v>
      </c>
      <c r="D21" s="2" t="s">
        <v>64</v>
      </c>
      <c r="E21" s="2" t="s">
        <v>65</v>
      </c>
      <c r="F21" s="3">
        <v>36501</v>
      </c>
      <c r="G21" s="2">
        <v>6</v>
      </c>
      <c r="H21" s="2">
        <v>6900</v>
      </c>
      <c r="I21" s="2">
        <v>108</v>
      </c>
      <c r="J21" s="2">
        <v>10</v>
      </c>
    </row>
    <row r="22" spans="1:10" ht="14.25" customHeight="1" x14ac:dyDescent="0.3">
      <c r="A22" s="2">
        <v>114</v>
      </c>
      <c r="B22" s="2" t="s">
        <v>66</v>
      </c>
      <c r="C22" s="2" t="s">
        <v>67</v>
      </c>
      <c r="D22" s="2" t="s">
        <v>68</v>
      </c>
      <c r="E22" s="2" t="s">
        <v>69</v>
      </c>
      <c r="F22" s="3">
        <v>34675</v>
      </c>
      <c r="G22" s="2">
        <v>14</v>
      </c>
      <c r="H22" s="2">
        <v>11000</v>
      </c>
      <c r="I22" s="2">
        <v>100</v>
      </c>
      <c r="J22" s="2">
        <v>3</v>
      </c>
    </row>
    <row r="23" spans="1:10" ht="14.25" customHeight="1" x14ac:dyDescent="0.3">
      <c r="A23" s="2">
        <v>115</v>
      </c>
      <c r="B23" s="2" t="s">
        <v>22</v>
      </c>
      <c r="C23" s="2" t="s">
        <v>70</v>
      </c>
      <c r="D23" s="2" t="s">
        <v>71</v>
      </c>
      <c r="E23" s="2" t="s">
        <v>72</v>
      </c>
      <c r="F23" s="3">
        <v>34837</v>
      </c>
      <c r="G23" s="2">
        <v>13</v>
      </c>
      <c r="H23" s="2">
        <v>3100</v>
      </c>
      <c r="I23" s="2">
        <v>114</v>
      </c>
      <c r="J23" s="2">
        <v>3</v>
      </c>
    </row>
    <row r="24" spans="1:10" ht="14.25" customHeight="1" x14ac:dyDescent="0.3">
      <c r="A24" s="2">
        <v>116</v>
      </c>
      <c r="B24" s="2" t="s">
        <v>73</v>
      </c>
      <c r="C24" s="2" t="s">
        <v>74</v>
      </c>
      <c r="D24" s="2" t="s">
        <v>75</v>
      </c>
      <c r="E24" s="2" t="s">
        <v>76</v>
      </c>
      <c r="F24" s="3">
        <v>35788</v>
      </c>
      <c r="G24" s="2">
        <v>13</v>
      </c>
      <c r="H24" s="2">
        <v>2900</v>
      </c>
      <c r="I24" s="2">
        <v>114</v>
      </c>
      <c r="J24" s="2">
        <v>3</v>
      </c>
    </row>
    <row r="25" spans="1:10" ht="14.25" customHeight="1" x14ac:dyDescent="0.3">
      <c r="A25" s="2">
        <v>117</v>
      </c>
      <c r="B25" s="2" t="s">
        <v>77</v>
      </c>
      <c r="C25" s="2" t="s">
        <v>78</v>
      </c>
      <c r="D25" s="2" t="s">
        <v>79</v>
      </c>
      <c r="E25" s="2" t="s">
        <v>80</v>
      </c>
      <c r="F25" s="3">
        <v>35635</v>
      </c>
      <c r="G25" s="2">
        <v>13</v>
      </c>
      <c r="H25" s="2">
        <v>2800</v>
      </c>
      <c r="I25" s="2">
        <v>114</v>
      </c>
      <c r="J25" s="2">
        <v>3</v>
      </c>
    </row>
    <row r="26" spans="1:10" ht="14.25" customHeight="1" x14ac:dyDescent="0.3">
      <c r="A26" s="2">
        <v>118</v>
      </c>
      <c r="B26" s="2" t="s">
        <v>81</v>
      </c>
      <c r="C26" s="2" t="s">
        <v>82</v>
      </c>
      <c r="D26" s="2" t="s">
        <v>83</v>
      </c>
      <c r="E26" s="2" t="s">
        <v>84</v>
      </c>
      <c r="F26" s="3">
        <v>36114</v>
      </c>
      <c r="G26" s="2">
        <v>13</v>
      </c>
      <c r="H26" s="2">
        <v>2600</v>
      </c>
      <c r="I26" s="2">
        <v>114</v>
      </c>
      <c r="J26" s="2">
        <v>3</v>
      </c>
    </row>
    <row r="27" spans="1:10" ht="14.25" customHeight="1" x14ac:dyDescent="0.3">
      <c r="A27" s="2">
        <v>119</v>
      </c>
      <c r="B27" s="2" t="s">
        <v>85</v>
      </c>
      <c r="C27" s="2" t="s">
        <v>86</v>
      </c>
      <c r="D27" s="2" t="s">
        <v>87</v>
      </c>
      <c r="E27" s="2" t="s">
        <v>88</v>
      </c>
      <c r="F27" s="3">
        <v>36382</v>
      </c>
      <c r="G27" s="2">
        <v>13</v>
      </c>
      <c r="H27" s="2">
        <v>2500</v>
      </c>
      <c r="I27" s="2">
        <v>114</v>
      </c>
      <c r="J27" s="2">
        <v>3</v>
      </c>
    </row>
    <row r="28" spans="1:10" ht="14.25" customHeight="1" x14ac:dyDescent="0.3">
      <c r="A28" s="2">
        <v>120</v>
      </c>
      <c r="B28" s="2" t="s">
        <v>89</v>
      </c>
      <c r="C28" s="2" t="s">
        <v>90</v>
      </c>
      <c r="D28" s="2" t="s">
        <v>91</v>
      </c>
      <c r="E28" s="2" t="s">
        <v>92</v>
      </c>
      <c r="F28" s="3">
        <v>35264</v>
      </c>
      <c r="G28" s="2">
        <v>19</v>
      </c>
      <c r="H28" s="2">
        <v>8000</v>
      </c>
      <c r="I28" s="2">
        <v>100</v>
      </c>
      <c r="J28" s="2">
        <v>5</v>
      </c>
    </row>
    <row r="29" spans="1:10" ht="14.25" customHeight="1" x14ac:dyDescent="0.3">
      <c r="A29" s="2">
        <v>121</v>
      </c>
      <c r="B29" s="2" t="s">
        <v>93</v>
      </c>
      <c r="C29" s="2" t="s">
        <v>94</v>
      </c>
      <c r="D29" s="2" t="s">
        <v>95</v>
      </c>
      <c r="E29" s="2" t="s">
        <v>96</v>
      </c>
      <c r="F29" s="3">
        <v>35530</v>
      </c>
      <c r="G29" s="2">
        <v>19</v>
      </c>
      <c r="H29" s="2">
        <v>8200</v>
      </c>
      <c r="I29" s="2">
        <v>100</v>
      </c>
      <c r="J29" s="2">
        <v>5</v>
      </c>
    </row>
    <row r="30" spans="1:10" ht="14.25" customHeight="1" x14ac:dyDescent="0.3">
      <c r="A30" s="2">
        <v>122</v>
      </c>
      <c r="B30" s="2" t="s">
        <v>97</v>
      </c>
      <c r="C30" s="2" t="s">
        <v>98</v>
      </c>
      <c r="D30" s="2" t="s">
        <v>99</v>
      </c>
      <c r="E30" s="2" t="s">
        <v>100</v>
      </c>
      <c r="F30" s="3">
        <v>34820</v>
      </c>
      <c r="G30" s="2">
        <v>19</v>
      </c>
      <c r="H30" s="2">
        <v>7900</v>
      </c>
      <c r="I30" s="2">
        <v>100</v>
      </c>
      <c r="J30" s="2">
        <v>5</v>
      </c>
    </row>
    <row r="31" spans="1:10" ht="14.25" customHeight="1" x14ac:dyDescent="0.3">
      <c r="A31" s="2">
        <v>123</v>
      </c>
      <c r="B31" s="2" t="s">
        <v>101</v>
      </c>
      <c r="C31" s="2" t="s">
        <v>102</v>
      </c>
      <c r="D31" s="2" t="s">
        <v>103</v>
      </c>
      <c r="E31" s="2" t="s">
        <v>104</v>
      </c>
      <c r="F31" s="3">
        <v>35713</v>
      </c>
      <c r="G31" s="2">
        <v>19</v>
      </c>
      <c r="H31" s="2">
        <v>6500</v>
      </c>
      <c r="I31" s="2">
        <v>100</v>
      </c>
      <c r="J31" s="2">
        <v>5</v>
      </c>
    </row>
    <row r="32" spans="1:10" ht="14.25" customHeight="1" x14ac:dyDescent="0.3">
      <c r="A32" s="2">
        <v>126</v>
      </c>
      <c r="B32" s="2" t="s">
        <v>105</v>
      </c>
      <c r="C32" s="2" t="s">
        <v>106</v>
      </c>
      <c r="D32" s="2" t="s">
        <v>107</v>
      </c>
      <c r="E32" s="2" t="s">
        <v>108</v>
      </c>
      <c r="F32" s="3">
        <v>36066</v>
      </c>
      <c r="G32" s="2">
        <v>18</v>
      </c>
      <c r="H32" s="2">
        <v>2700</v>
      </c>
      <c r="I32" s="2">
        <v>120</v>
      </c>
      <c r="J32" s="2">
        <v>5</v>
      </c>
    </row>
    <row r="33" spans="1:10" ht="14.25" customHeight="1" x14ac:dyDescent="0.3">
      <c r="A33" s="2">
        <v>145</v>
      </c>
      <c r="B33" s="2" t="s">
        <v>50</v>
      </c>
      <c r="C33" s="2" t="s">
        <v>109</v>
      </c>
      <c r="D33" s="2" t="s">
        <v>110</v>
      </c>
      <c r="F33" s="3">
        <v>35339</v>
      </c>
      <c r="G33" s="2">
        <v>15</v>
      </c>
      <c r="H33" s="2">
        <v>14000</v>
      </c>
      <c r="I33" s="2">
        <v>100</v>
      </c>
      <c r="J33" s="2">
        <v>8</v>
      </c>
    </row>
    <row r="34" spans="1:10" ht="14.25" customHeight="1" x14ac:dyDescent="0.3">
      <c r="A34" s="2">
        <v>146</v>
      </c>
      <c r="B34" s="2" t="s">
        <v>85</v>
      </c>
      <c r="C34" s="2" t="s">
        <v>111</v>
      </c>
      <c r="D34" s="2" t="s">
        <v>112</v>
      </c>
      <c r="F34" s="3">
        <v>35435</v>
      </c>
      <c r="G34" s="2">
        <v>15</v>
      </c>
      <c r="H34" s="2">
        <v>13500</v>
      </c>
      <c r="I34" s="2">
        <v>100</v>
      </c>
      <c r="J34" s="2">
        <v>8</v>
      </c>
    </row>
    <row r="35" spans="1:10" ht="14.25" customHeight="1" x14ac:dyDescent="0.3">
      <c r="A35" s="2">
        <v>176</v>
      </c>
      <c r="B35" s="2" t="s">
        <v>113</v>
      </c>
      <c r="C35" s="2" t="s">
        <v>114</v>
      </c>
      <c r="D35" s="2" t="s">
        <v>115</v>
      </c>
      <c r="F35" s="3">
        <v>35878</v>
      </c>
      <c r="G35" s="2">
        <v>16</v>
      </c>
      <c r="H35" s="2">
        <v>8600</v>
      </c>
      <c r="I35" s="2">
        <v>100</v>
      </c>
      <c r="J35" s="2">
        <v>8</v>
      </c>
    </row>
    <row r="36" spans="1:10" ht="14.25" customHeight="1" x14ac:dyDescent="0.3">
      <c r="A36" s="2">
        <v>177</v>
      </c>
      <c r="B36" s="2" t="s">
        <v>116</v>
      </c>
      <c r="C36" s="2" t="s">
        <v>117</v>
      </c>
      <c r="D36" s="2" t="s">
        <v>118</v>
      </c>
      <c r="F36" s="3">
        <v>35908</v>
      </c>
      <c r="G36" s="2">
        <v>16</v>
      </c>
      <c r="H36" s="2">
        <v>8400</v>
      </c>
      <c r="I36" s="2">
        <v>100</v>
      </c>
      <c r="J36" s="2">
        <v>8</v>
      </c>
    </row>
    <row r="37" spans="1:10" ht="14.25" customHeight="1" x14ac:dyDescent="0.3">
      <c r="A37" s="2">
        <v>178</v>
      </c>
      <c r="B37" s="2" t="s">
        <v>119</v>
      </c>
      <c r="C37" s="2" t="s">
        <v>120</v>
      </c>
      <c r="D37" s="2" t="s">
        <v>121</v>
      </c>
      <c r="F37" s="3">
        <v>36304</v>
      </c>
      <c r="G37" s="2">
        <v>16</v>
      </c>
      <c r="H37" s="2">
        <v>7000</v>
      </c>
      <c r="I37" s="2">
        <v>100</v>
      </c>
      <c r="J37" s="2">
        <v>8</v>
      </c>
    </row>
    <row r="38" spans="1:10" ht="14.25" customHeight="1" x14ac:dyDescent="0.3">
      <c r="A38" s="2">
        <v>179</v>
      </c>
      <c r="B38" s="2" t="s">
        <v>122</v>
      </c>
      <c r="C38" s="2" t="s">
        <v>123</v>
      </c>
      <c r="D38" s="2" t="s">
        <v>124</v>
      </c>
      <c r="F38" s="3">
        <v>36529</v>
      </c>
      <c r="G38" s="2">
        <v>16</v>
      </c>
      <c r="H38" s="2">
        <v>6200</v>
      </c>
      <c r="I38" s="2">
        <v>100</v>
      </c>
      <c r="J38" s="2">
        <v>8</v>
      </c>
    </row>
    <row r="39" spans="1:10" ht="14.25" customHeight="1" x14ac:dyDescent="0.3">
      <c r="A39" s="2">
        <v>192</v>
      </c>
      <c r="B39" s="2" t="s">
        <v>125</v>
      </c>
      <c r="C39" s="2" t="s">
        <v>126</v>
      </c>
      <c r="D39" s="2" t="s">
        <v>127</v>
      </c>
      <c r="E39" s="2" t="s">
        <v>128</v>
      </c>
      <c r="F39" s="3">
        <v>35099</v>
      </c>
      <c r="G39" s="2">
        <v>17</v>
      </c>
      <c r="H39" s="2">
        <v>4000</v>
      </c>
      <c r="I39" s="2">
        <v>123</v>
      </c>
      <c r="J39" s="2">
        <v>5</v>
      </c>
    </row>
    <row r="40" spans="1:10" ht="14.25" customHeight="1" x14ac:dyDescent="0.3">
      <c r="A40" s="2">
        <v>193</v>
      </c>
      <c r="B40" s="2" t="s">
        <v>129</v>
      </c>
      <c r="C40" s="2" t="s">
        <v>130</v>
      </c>
      <c r="D40" s="2" t="s">
        <v>131</v>
      </c>
      <c r="E40" s="2" t="s">
        <v>132</v>
      </c>
      <c r="F40" s="3">
        <v>35492</v>
      </c>
      <c r="G40" s="2">
        <v>17</v>
      </c>
      <c r="H40" s="2">
        <v>3900</v>
      </c>
      <c r="I40" s="2">
        <v>123</v>
      </c>
      <c r="J40" s="2">
        <v>5</v>
      </c>
    </row>
    <row r="41" spans="1:10" ht="14.25" customHeight="1" x14ac:dyDescent="0.3">
      <c r="A41" s="2">
        <v>200</v>
      </c>
      <c r="B41" s="2" t="s">
        <v>133</v>
      </c>
      <c r="C41" s="2" t="s">
        <v>134</v>
      </c>
      <c r="D41" s="2" t="s">
        <v>135</v>
      </c>
      <c r="E41" s="2" t="s">
        <v>136</v>
      </c>
      <c r="F41" s="3">
        <v>32037</v>
      </c>
      <c r="G41" s="2">
        <v>3</v>
      </c>
      <c r="H41" s="2">
        <v>4400</v>
      </c>
      <c r="I41" s="2">
        <v>101</v>
      </c>
      <c r="J41" s="2">
        <v>1</v>
      </c>
    </row>
    <row r="42" spans="1:10" ht="14.25" customHeight="1" x14ac:dyDescent="0.3">
      <c r="A42" s="2">
        <v>201</v>
      </c>
      <c r="B42" s="2" t="s">
        <v>137</v>
      </c>
      <c r="C42" s="2" t="s">
        <v>138</v>
      </c>
      <c r="D42" s="2" t="s">
        <v>139</v>
      </c>
      <c r="E42" s="2" t="s">
        <v>140</v>
      </c>
      <c r="F42" s="3">
        <v>35112</v>
      </c>
      <c r="G42" s="2">
        <v>10</v>
      </c>
      <c r="H42" s="2">
        <v>13000</v>
      </c>
      <c r="I42" s="2">
        <v>100</v>
      </c>
      <c r="J42" s="2">
        <v>2</v>
      </c>
    </row>
    <row r="43" spans="1:10" ht="14.25" customHeight="1" x14ac:dyDescent="0.3">
      <c r="A43" s="2">
        <v>202</v>
      </c>
      <c r="B43" s="2" t="s">
        <v>141</v>
      </c>
      <c r="C43" s="2" t="s">
        <v>142</v>
      </c>
      <c r="D43" s="2" t="s">
        <v>143</v>
      </c>
      <c r="E43" s="2" t="s">
        <v>144</v>
      </c>
      <c r="F43" s="3">
        <v>35659</v>
      </c>
      <c r="G43" s="2">
        <v>11</v>
      </c>
      <c r="H43" s="2">
        <v>6000</v>
      </c>
      <c r="I43" s="2">
        <v>201</v>
      </c>
      <c r="J43" s="2">
        <v>2</v>
      </c>
    </row>
    <row r="44" spans="1:10" ht="14.25" customHeight="1" x14ac:dyDescent="0.3">
      <c r="A44" s="2">
        <v>203</v>
      </c>
      <c r="B44" s="2" t="s">
        <v>145</v>
      </c>
      <c r="C44" s="2" t="s">
        <v>146</v>
      </c>
      <c r="D44" s="2" t="s">
        <v>147</v>
      </c>
      <c r="E44" s="2" t="s">
        <v>148</v>
      </c>
      <c r="F44" s="3">
        <v>34492</v>
      </c>
      <c r="G44" s="2">
        <v>8</v>
      </c>
      <c r="H44" s="2">
        <v>6500</v>
      </c>
      <c r="I44" s="2">
        <v>101</v>
      </c>
      <c r="J44" s="2">
        <v>4</v>
      </c>
    </row>
    <row r="45" spans="1:10" ht="14.25" customHeight="1" x14ac:dyDescent="0.3">
      <c r="A45" s="2">
        <v>204</v>
      </c>
      <c r="B45" s="2" t="s">
        <v>149</v>
      </c>
      <c r="C45" s="2" t="s">
        <v>150</v>
      </c>
      <c r="D45" s="2" t="s">
        <v>151</v>
      </c>
      <c r="E45" s="2" t="s">
        <v>152</v>
      </c>
      <c r="F45" s="3">
        <v>34492</v>
      </c>
      <c r="G45" s="2">
        <v>12</v>
      </c>
      <c r="H45" s="2">
        <v>10000</v>
      </c>
      <c r="I45" s="2">
        <v>101</v>
      </c>
      <c r="J45" s="2">
        <v>7</v>
      </c>
    </row>
    <row r="46" spans="1:10" ht="14.25" customHeight="1" x14ac:dyDescent="0.3">
      <c r="A46" s="2">
        <v>205</v>
      </c>
      <c r="B46" s="2" t="s">
        <v>153</v>
      </c>
      <c r="C46" s="2" t="s">
        <v>154</v>
      </c>
      <c r="D46" s="2" t="s">
        <v>155</v>
      </c>
      <c r="E46" s="2" t="s">
        <v>156</v>
      </c>
      <c r="F46" s="3">
        <v>34492</v>
      </c>
      <c r="G46" s="2">
        <v>2</v>
      </c>
      <c r="H46" s="2">
        <v>12000</v>
      </c>
      <c r="I46" s="2">
        <v>101</v>
      </c>
      <c r="J46" s="2">
        <v>11</v>
      </c>
    </row>
    <row r="47" spans="1:10" ht="14.25" customHeight="1" x14ac:dyDescent="0.3">
      <c r="A47" s="2">
        <v>206</v>
      </c>
      <c r="B47" s="2" t="s">
        <v>157</v>
      </c>
      <c r="C47" s="2" t="s">
        <v>158</v>
      </c>
      <c r="D47" s="2" t="s">
        <v>159</v>
      </c>
      <c r="E47" s="2" t="s">
        <v>160</v>
      </c>
      <c r="F47" s="3">
        <v>34492</v>
      </c>
      <c r="G47" s="2">
        <v>1</v>
      </c>
      <c r="H47" s="2">
        <v>8300</v>
      </c>
      <c r="I47" s="2">
        <v>205</v>
      </c>
      <c r="J47" s="2">
        <v>11</v>
      </c>
    </row>
    <row r="48" spans="1:10" ht="14.25" customHeight="1" x14ac:dyDescent="0.3">
      <c r="G48" s="10" t="s">
        <v>317</v>
      </c>
      <c r="H48">
        <f>AVERAGE($H$8:$H$47)</f>
        <v>8060</v>
      </c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AE5EC-B02D-4DBD-952F-3D35F1239AB1}">
  <dimension ref="A1:D53"/>
  <sheetViews>
    <sheetView tabSelected="1" workbookViewId="0">
      <selection activeCell="B10" sqref="B10"/>
    </sheetView>
  </sheetViews>
  <sheetFormatPr defaultRowHeight="14.4" x14ac:dyDescent="0.3"/>
  <cols>
    <col min="1" max="1" width="19.88671875" bestFit="1" customWidth="1"/>
    <col min="2" max="3" width="12" bestFit="1" customWidth="1"/>
  </cols>
  <sheetData>
    <row r="1" spans="1:4" x14ac:dyDescent="0.3">
      <c r="A1" s="19" t="s">
        <v>296</v>
      </c>
      <c r="B1" t="s">
        <v>299</v>
      </c>
    </row>
    <row r="2" spans="1:4" x14ac:dyDescent="0.3">
      <c r="A2" s="20" t="s">
        <v>177</v>
      </c>
      <c r="B2" s="31"/>
      <c r="D2" s="10" t="s">
        <v>314</v>
      </c>
    </row>
    <row r="3" spans="1:4" ht="18" x14ac:dyDescent="0.35">
      <c r="A3" s="21" t="s">
        <v>289</v>
      </c>
      <c r="B3" s="31">
        <v>12000</v>
      </c>
      <c r="D3" s="32" t="s">
        <v>315</v>
      </c>
    </row>
    <row r="4" spans="1:4" x14ac:dyDescent="0.3">
      <c r="A4" s="21" t="s">
        <v>292</v>
      </c>
      <c r="B4" s="31">
        <v>8300</v>
      </c>
    </row>
    <row r="5" spans="1:4" x14ac:dyDescent="0.3">
      <c r="A5" s="20" t="s">
        <v>167</v>
      </c>
      <c r="B5" s="31"/>
    </row>
    <row r="6" spans="1:4" x14ac:dyDescent="0.3">
      <c r="A6" s="21" t="s">
        <v>274</v>
      </c>
      <c r="B6" s="31">
        <v>4400</v>
      </c>
    </row>
    <row r="7" spans="1:4" x14ac:dyDescent="0.3">
      <c r="A7" s="20" t="s">
        <v>175</v>
      </c>
      <c r="B7" s="31"/>
    </row>
    <row r="8" spans="1:4" x14ac:dyDescent="0.3">
      <c r="A8" s="21" t="s">
        <v>187</v>
      </c>
      <c r="B8" s="31">
        <v>17000</v>
      </c>
    </row>
    <row r="9" spans="1:4" x14ac:dyDescent="0.3">
      <c r="A9" s="21" t="s">
        <v>184</v>
      </c>
      <c r="B9" s="31">
        <v>17000</v>
      </c>
    </row>
    <row r="10" spans="1:4" x14ac:dyDescent="0.3">
      <c r="A10" s="21" t="s">
        <v>181</v>
      </c>
      <c r="B10" s="31">
        <v>24000</v>
      </c>
    </row>
    <row r="11" spans="1:4" x14ac:dyDescent="0.3">
      <c r="A11" s="20" t="s">
        <v>176</v>
      </c>
      <c r="B11" s="31"/>
    </row>
    <row r="12" spans="1:4" x14ac:dyDescent="0.3">
      <c r="A12" s="21" t="s">
        <v>208</v>
      </c>
      <c r="B12" s="31">
        <v>9000</v>
      </c>
    </row>
    <row r="13" spans="1:4" x14ac:dyDescent="0.3">
      <c r="A13" s="21" t="s">
        <v>214</v>
      </c>
      <c r="B13" s="31">
        <v>7700</v>
      </c>
    </row>
    <row r="14" spans="1:4" x14ac:dyDescent="0.3">
      <c r="A14" s="21" t="s">
        <v>211</v>
      </c>
      <c r="B14" s="31">
        <v>8200</v>
      </c>
    </row>
    <row r="15" spans="1:4" x14ac:dyDescent="0.3">
      <c r="A15" s="21" t="s">
        <v>217</v>
      </c>
      <c r="B15" s="31">
        <v>7800</v>
      </c>
    </row>
    <row r="16" spans="1:4" x14ac:dyDescent="0.3">
      <c r="A16" s="21" t="s">
        <v>220</v>
      </c>
      <c r="B16" s="31">
        <v>6900</v>
      </c>
    </row>
    <row r="17" spans="1:2" x14ac:dyDescent="0.3">
      <c r="A17" s="21" t="s">
        <v>205</v>
      </c>
      <c r="B17" s="31">
        <v>12000</v>
      </c>
    </row>
    <row r="18" spans="1:2" x14ac:dyDescent="0.3">
      <c r="A18" s="20" t="s">
        <v>170</v>
      </c>
      <c r="B18" s="31"/>
    </row>
    <row r="19" spans="1:2" x14ac:dyDescent="0.3">
      <c r="A19" s="21" t="s">
        <v>283</v>
      </c>
      <c r="B19" s="31">
        <v>6500</v>
      </c>
    </row>
    <row r="20" spans="1:2" x14ac:dyDescent="0.3">
      <c r="A20" s="20" t="s">
        <v>172</v>
      </c>
      <c r="B20" s="31"/>
    </row>
    <row r="21" spans="1:2" x14ac:dyDescent="0.3">
      <c r="A21" s="21" t="s">
        <v>190</v>
      </c>
      <c r="B21" s="31">
        <v>9000</v>
      </c>
    </row>
    <row r="22" spans="1:2" x14ac:dyDescent="0.3">
      <c r="A22" s="21" t="s">
        <v>193</v>
      </c>
      <c r="B22" s="31">
        <v>6000</v>
      </c>
    </row>
    <row r="23" spans="1:2" x14ac:dyDescent="0.3">
      <c r="A23" s="21" t="s">
        <v>196</v>
      </c>
      <c r="B23" s="31">
        <v>4800</v>
      </c>
    </row>
    <row r="24" spans="1:2" x14ac:dyDescent="0.3">
      <c r="A24" s="21" t="s">
        <v>202</v>
      </c>
      <c r="B24" s="31">
        <v>4200</v>
      </c>
    </row>
    <row r="25" spans="1:2" x14ac:dyDescent="0.3">
      <c r="A25" s="21" t="s">
        <v>199</v>
      </c>
      <c r="B25" s="31">
        <v>4800</v>
      </c>
    </row>
    <row r="26" spans="1:2" x14ac:dyDescent="0.3">
      <c r="A26" s="20" t="s">
        <v>168</v>
      </c>
      <c r="B26" s="31"/>
    </row>
    <row r="27" spans="1:2" x14ac:dyDescent="0.3">
      <c r="A27" s="21" t="s">
        <v>277</v>
      </c>
      <c r="B27" s="31">
        <v>13000</v>
      </c>
    </row>
    <row r="28" spans="1:2" x14ac:dyDescent="0.3">
      <c r="A28" s="21" t="s">
        <v>280</v>
      </c>
      <c r="B28" s="31">
        <v>6000</v>
      </c>
    </row>
    <row r="29" spans="1:2" x14ac:dyDescent="0.3">
      <c r="A29" s="20" t="s">
        <v>173</v>
      </c>
      <c r="B29" s="31"/>
    </row>
    <row r="30" spans="1:2" x14ac:dyDescent="0.3">
      <c r="A30" s="21" t="s">
        <v>286</v>
      </c>
      <c r="B30" s="31">
        <v>10000</v>
      </c>
    </row>
    <row r="31" spans="1:2" x14ac:dyDescent="0.3">
      <c r="A31" s="20" t="s">
        <v>169</v>
      </c>
      <c r="B31" s="31"/>
    </row>
    <row r="32" spans="1:2" x14ac:dyDescent="0.3">
      <c r="A32" s="21" t="s">
        <v>226</v>
      </c>
      <c r="B32" s="31">
        <v>3100</v>
      </c>
    </row>
    <row r="33" spans="1:2" x14ac:dyDescent="0.3">
      <c r="A33" s="21" t="s">
        <v>223</v>
      </c>
      <c r="B33" s="31">
        <v>11000</v>
      </c>
    </row>
    <row r="34" spans="1:2" x14ac:dyDescent="0.3">
      <c r="A34" s="21" t="s">
        <v>235</v>
      </c>
      <c r="B34" s="31">
        <v>2600</v>
      </c>
    </row>
    <row r="35" spans="1:2" x14ac:dyDescent="0.3">
      <c r="A35" s="21" t="s">
        <v>238</v>
      </c>
      <c r="B35" s="31">
        <v>2500</v>
      </c>
    </row>
    <row r="36" spans="1:2" x14ac:dyDescent="0.3">
      <c r="A36" s="21" t="s">
        <v>229</v>
      </c>
      <c r="B36" s="31">
        <v>2900</v>
      </c>
    </row>
    <row r="37" spans="1:2" x14ac:dyDescent="0.3">
      <c r="A37" s="21" t="s">
        <v>232</v>
      </c>
      <c r="B37" s="31">
        <v>2800</v>
      </c>
    </row>
    <row r="38" spans="1:2" x14ac:dyDescent="0.3">
      <c r="A38" s="20" t="s">
        <v>174</v>
      </c>
      <c r="B38" s="31"/>
    </row>
    <row r="39" spans="1:2" x14ac:dyDescent="0.3">
      <c r="A39" s="21" t="s">
        <v>266</v>
      </c>
      <c r="B39" s="31">
        <v>6200</v>
      </c>
    </row>
    <row r="40" spans="1:2" x14ac:dyDescent="0.3">
      <c r="A40" s="21" t="s">
        <v>262</v>
      </c>
      <c r="B40" s="31">
        <v>8400</v>
      </c>
    </row>
    <row r="41" spans="1:2" x14ac:dyDescent="0.3">
      <c r="A41" s="21" t="s">
        <v>256</v>
      </c>
      <c r="B41" s="31">
        <v>14000</v>
      </c>
    </row>
    <row r="42" spans="1:2" x14ac:dyDescent="0.3">
      <c r="A42" s="21" t="s">
        <v>260</v>
      </c>
      <c r="B42" s="31">
        <v>8600</v>
      </c>
    </row>
    <row r="43" spans="1:2" x14ac:dyDescent="0.3">
      <c r="A43" s="21" t="s">
        <v>258</v>
      </c>
      <c r="B43" s="31">
        <v>13500</v>
      </c>
    </row>
    <row r="44" spans="1:2" x14ac:dyDescent="0.3">
      <c r="A44" s="21" t="s">
        <v>264</v>
      </c>
      <c r="B44" s="31">
        <v>7000</v>
      </c>
    </row>
    <row r="45" spans="1:2" x14ac:dyDescent="0.3">
      <c r="A45" s="20" t="s">
        <v>171</v>
      </c>
      <c r="B45" s="31"/>
    </row>
    <row r="46" spans="1:2" x14ac:dyDescent="0.3">
      <c r="A46" s="21" t="s">
        <v>244</v>
      </c>
      <c r="B46" s="31">
        <v>8200</v>
      </c>
    </row>
    <row r="47" spans="1:2" x14ac:dyDescent="0.3">
      <c r="A47" s="21" t="s">
        <v>271</v>
      </c>
      <c r="B47" s="31">
        <v>3900</v>
      </c>
    </row>
    <row r="48" spans="1:2" x14ac:dyDescent="0.3">
      <c r="A48" s="21" t="s">
        <v>253</v>
      </c>
      <c r="B48" s="31">
        <v>2700</v>
      </c>
    </row>
    <row r="49" spans="1:2" x14ac:dyDescent="0.3">
      <c r="A49" s="21" t="s">
        <v>241</v>
      </c>
      <c r="B49" s="31">
        <v>8000</v>
      </c>
    </row>
    <row r="50" spans="1:2" x14ac:dyDescent="0.3">
      <c r="A50" s="21" t="s">
        <v>247</v>
      </c>
      <c r="B50" s="31">
        <v>7900</v>
      </c>
    </row>
    <row r="51" spans="1:2" x14ac:dyDescent="0.3">
      <c r="A51" s="21" t="s">
        <v>268</v>
      </c>
      <c r="B51" s="31">
        <v>4000</v>
      </c>
    </row>
    <row r="52" spans="1:2" x14ac:dyDescent="0.3">
      <c r="A52" s="21" t="s">
        <v>250</v>
      </c>
      <c r="B52" s="31">
        <v>6500</v>
      </c>
    </row>
    <row r="53" spans="1:2" x14ac:dyDescent="0.3">
      <c r="A53" s="20" t="s">
        <v>297</v>
      </c>
      <c r="B53" s="31">
        <v>322400</v>
      </c>
    </row>
  </sheetData>
  <conditionalFormatting pivot="1">
    <cfRule type="top10" dxfId="16" priority="17" percent="1" rank="1"/>
  </conditionalFormatting>
  <conditionalFormatting sqref="A3:A4">
    <cfRule type="top10" dxfId="15" priority="16" rank="1"/>
  </conditionalFormatting>
  <conditionalFormatting pivot="1" sqref="B6">
    <cfRule type="top10" dxfId="14" priority="15" rank="1"/>
  </conditionalFormatting>
  <conditionalFormatting sqref="A8:A10">
    <cfRule type="top10" dxfId="13" priority="14" rank="1"/>
  </conditionalFormatting>
  <conditionalFormatting sqref="A12:B17">
    <cfRule type="top10" dxfId="12" priority="12" rank="1"/>
  </conditionalFormatting>
  <conditionalFormatting sqref="A21:B25">
    <cfRule type="top10" dxfId="11" priority="11" rank="1"/>
  </conditionalFormatting>
  <conditionalFormatting sqref="A27:B28">
    <cfRule type="top10" dxfId="10" priority="10" rank="1"/>
  </conditionalFormatting>
  <conditionalFormatting sqref="A32:B37">
    <cfRule type="top10" dxfId="9" priority="9" rank="1"/>
  </conditionalFormatting>
  <conditionalFormatting sqref="A46:B52">
    <cfRule type="top10" dxfId="8" priority="8" rank="1"/>
  </conditionalFormatting>
  <conditionalFormatting sqref="A39:B44">
    <cfRule type="top10" dxfId="7" priority="7" rank="1"/>
  </conditionalFormatting>
  <conditionalFormatting sqref="A30:B30">
    <cfRule type="top10" dxfId="6" priority="6" rank="1"/>
  </conditionalFormatting>
  <conditionalFormatting sqref="A19:B19">
    <cfRule type="top10" dxfId="5" priority="5" rank="1"/>
  </conditionalFormatting>
  <conditionalFormatting sqref="A8:B10">
    <cfRule type="top10" dxfId="4" priority="4" rank="1"/>
  </conditionalFormatting>
  <conditionalFormatting sqref="A3:B4">
    <cfRule type="top10" dxfId="3" priority="3" rank="1"/>
  </conditionalFormatting>
  <conditionalFormatting sqref="A3:A4 A6 A8:A10 A12:A17 A19 A21:A25 A27:A28 A30 A32:A37 A39:A44 A46:A52">
    <cfRule type="top10" dxfId="2" priority="2" rank="1"/>
  </conditionalFormatting>
  <conditionalFormatting sqref="A3:B52">
    <cfRule type="top10" dxfId="1" priority="1" rank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C3C1A-3E95-4FF6-81A3-F02C90EB52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Original Data set employees</vt:lpstr>
      <vt:lpstr>Q1- Conditional formatting</vt:lpstr>
      <vt:lpstr>Q2</vt:lpstr>
      <vt:lpstr>Q3- List data validation</vt:lpstr>
      <vt:lpstr>Q4- Power Query</vt:lpstr>
      <vt:lpstr>Q5 Relationship</vt:lpstr>
      <vt:lpstr>Q6 Power pivot table</vt:lpstr>
      <vt:lpstr>Q7- Employees Table</vt:lpstr>
      <vt:lpstr>Q8 filter</vt:lpstr>
      <vt:lpstr>Q9 Marco</vt:lpstr>
      <vt:lpstr>Q10 Avg salary </vt:lpstr>
      <vt:lpstr>Q11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Devi Rath</cp:lastModifiedBy>
  <dcterms:created xsi:type="dcterms:W3CDTF">2024-06-26T08:39:02Z</dcterms:created>
  <dcterms:modified xsi:type="dcterms:W3CDTF">2024-09-16T09:14:59Z</dcterms:modified>
</cp:coreProperties>
</file>